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cuments\schools\school_lublino\walls\"/>
    </mc:Choice>
  </mc:AlternateContent>
  <bookViews>
    <workbookView xWindow="0" yWindow="5568" windowWidth="5532" windowHeight="3912" tabRatio="800" firstSheet="1" activeTab="1"/>
  </bookViews>
  <sheets>
    <sheet name="ВОР 2 э. шт." sheetId="8" state="hidden" r:id="rId1"/>
    <sheet name="11.2КрсИнв" sheetId="49" r:id="rId2"/>
    <sheet name="11.1КрсИнв" sheetId="48" r:id="rId3"/>
    <sheet name="10.6-ШтрбНЗ" sheetId="47" r:id="rId4"/>
    <sheet name="10.5Плн" sheetId="46" r:id="rId5"/>
    <sheet name="10.4Лбк" sheetId="45" r:id="rId6"/>
    <sheet name="10.2Кр8в" sheetId="44" r:id="rId7"/>
    <sheet name="10.1Шп8в" sheetId="43" r:id="rId8"/>
    <sheet name="9.1.1ММПЛес" sheetId="42" r:id="rId9"/>
    <sheet name="9.1ММП" sheetId="40" r:id="rId10"/>
    <sheet name="8.2" sheetId="39" r:id="rId11"/>
    <sheet name="8.1" sheetId="38" r:id="rId12"/>
    <sheet name="5.1Пл6в" sheetId="32" r:id="rId13"/>
    <sheet name="4.5ДвОтк" sheetId="35" r:id="rId14"/>
    <sheet name="4.4дмСт" sheetId="34" r:id="rId15"/>
    <sheet name="4.3.3СуШтНЗ" sheetId="36" r:id="rId16"/>
    <sheet name="4.3.2НарСтНЗ" sheetId="37" r:id="rId17"/>
    <sheet name="4.3Мтж" sheetId="31" r:id="rId18"/>
    <sheet name="4.2Дм" sheetId="30" r:id="rId19"/>
    <sheet name="4.1-ШтрбНЗ" sheetId="28" r:id="rId20"/>
    <sheet name="Лист3" sheetId="29" r:id="rId21"/>
    <sheet name="3.3ШпФн6в" sheetId="33" r:id="rId22"/>
    <sheet name="3.2ШпФин" sheetId="27" r:id="rId23"/>
    <sheet name="2.6ЧСТ3" sheetId="26" r:id="rId24"/>
    <sheet name="1.7ГКЛ" sheetId="25" r:id="rId25"/>
    <sheet name="2.5Шт5блСпртЗл" sheetId="24" r:id="rId26"/>
    <sheet name="Спец 2 э. шт." sheetId="7" r:id="rId27"/>
    <sheet name="ВОР 3 э. шт." sheetId="10" r:id="rId28"/>
    <sheet name="Спец 3 э. шт." sheetId="9" r:id="rId29"/>
    <sheet name="ВОР 1.2.3 э. шт." sheetId="15" state="hidden" r:id="rId30"/>
    <sheet name="сп1.2.3эт" sheetId="11" r:id="rId31"/>
    <sheet name="Лист4" sheetId="14" state="hidden" r:id="rId32"/>
    <sheet name="Лист2" sheetId="17" r:id="rId33"/>
    <sheet name="2.1ШпВор" sheetId="16" r:id="rId34"/>
    <sheet name="2.2)Шп1эт" sheetId="20" r:id="rId35"/>
    <sheet name="2.3)Шп2эт" sheetId="21" r:id="rId36"/>
    <sheet name="2.4)Шп3эт" sheetId="22" r:id="rId37"/>
    <sheet name="3.1ШпФин" sheetId="23" r:id="rId38"/>
    <sheet name="Лист5" sheetId="19" state="hidden" r:id="rId39"/>
  </sheets>
  <calcPr calcId="152511"/>
</workbook>
</file>

<file path=xl/calcChain.xml><?xml version="1.0" encoding="utf-8"?>
<calcChain xmlns="http://schemas.openxmlformats.org/spreadsheetml/2006/main">
  <c r="K8" i="49" l="1"/>
  <c r="K7" i="49"/>
  <c r="K6" i="49"/>
  <c r="K5" i="49"/>
  <c r="K4" i="49"/>
  <c r="K3" i="49"/>
  <c r="D20" i="48" l="1"/>
  <c r="G6" i="48" s="1"/>
  <c r="D15" i="48"/>
  <c r="G5" i="48" s="1"/>
  <c r="C15" i="48"/>
  <c r="G3" i="48" s="1"/>
  <c r="C20" i="48"/>
  <c r="G4" i="48" s="1"/>
  <c r="C7" i="42" l="1"/>
  <c r="C8" i="42"/>
  <c r="C6" i="42"/>
  <c r="C5" i="47" l="1"/>
  <c r="C6" i="47"/>
  <c r="C7" i="47"/>
  <c r="C8" i="47"/>
  <c r="C9" i="47"/>
  <c r="B9" i="47"/>
  <c r="B8" i="47"/>
  <c r="B7" i="47"/>
  <c r="B6" i="47"/>
  <c r="B5" i="47"/>
  <c r="H9" i="47"/>
  <c r="I9" i="47" s="1"/>
  <c r="H8" i="47"/>
  <c r="I8" i="47" s="1"/>
  <c r="H7" i="47"/>
  <c r="I7" i="47" s="1"/>
  <c r="H6" i="47"/>
  <c r="I6" i="47" s="1"/>
  <c r="H5" i="47"/>
  <c r="I5" i="47" s="1"/>
  <c r="G51" i="47"/>
  <c r="H51" i="47" s="1"/>
  <c r="F65" i="47"/>
  <c r="G64" i="47"/>
  <c r="H64" i="47" s="1"/>
  <c r="G63" i="47"/>
  <c r="H63" i="47" s="1"/>
  <c r="G62" i="47"/>
  <c r="H62" i="47" s="1"/>
  <c r="G61" i="47"/>
  <c r="H61" i="47" s="1"/>
  <c r="G60" i="47"/>
  <c r="H60" i="47" s="1"/>
  <c r="G52" i="47"/>
  <c r="H52" i="47" s="1"/>
  <c r="G53" i="47"/>
  <c r="H53" i="47" s="1"/>
  <c r="G54" i="47"/>
  <c r="H54" i="47" s="1"/>
  <c r="F55" i="47"/>
  <c r="G50" i="47"/>
  <c r="H50" i="47" s="1"/>
  <c r="G49" i="47"/>
  <c r="H49" i="47" s="1"/>
  <c r="G48" i="47"/>
  <c r="H48" i="47" s="1"/>
  <c r="F43" i="47"/>
  <c r="G42" i="47"/>
  <c r="H42" i="47" s="1"/>
  <c r="G41" i="47"/>
  <c r="H41" i="47" s="1"/>
  <c r="G40" i="47"/>
  <c r="H40" i="47" s="1"/>
  <c r="G39" i="47"/>
  <c r="H39" i="47" s="1"/>
  <c r="G38" i="47"/>
  <c r="H38" i="47" s="1"/>
  <c r="G37" i="47"/>
  <c r="H37" i="47" s="1"/>
  <c r="G36" i="47"/>
  <c r="G72" i="47"/>
  <c r="H72" i="47" s="1"/>
  <c r="G73" i="47"/>
  <c r="H73" i="47" s="1"/>
  <c r="G74" i="47"/>
  <c r="H74" i="47" s="1"/>
  <c r="G75" i="47"/>
  <c r="H75" i="47" s="1"/>
  <c r="G76" i="47"/>
  <c r="H76" i="47" s="1"/>
  <c r="G77" i="47"/>
  <c r="H77" i="47" s="1"/>
  <c r="F78" i="47"/>
  <c r="G71" i="47"/>
  <c r="H71" i="47" s="1"/>
  <c r="G70" i="47"/>
  <c r="F86" i="47"/>
  <c r="G85" i="47"/>
  <c r="H85" i="47" s="1"/>
  <c r="G84" i="47"/>
  <c r="H84" i="47" s="1"/>
  <c r="G83" i="47"/>
  <c r="F31" i="47"/>
  <c r="B4" i="47" s="1"/>
  <c r="G30" i="47"/>
  <c r="H30" i="47" s="1"/>
  <c r="G29" i="47"/>
  <c r="F24" i="47"/>
  <c r="B3" i="47" s="1"/>
  <c r="G23" i="47"/>
  <c r="H23" i="47" s="1"/>
  <c r="G22" i="47"/>
  <c r="H22" i="47" s="1"/>
  <c r="F17" i="47"/>
  <c r="B2" i="47" s="1"/>
  <c r="G16" i="47"/>
  <c r="H16" i="47" s="1"/>
  <c r="G15" i="47"/>
  <c r="H15" i="47" s="1"/>
  <c r="H24" i="47" l="1"/>
  <c r="G65" i="47"/>
  <c r="G31" i="47"/>
  <c r="C4" i="47" s="1"/>
  <c r="H4" i="47" s="1"/>
  <c r="I4" i="47" s="1"/>
  <c r="H65" i="47"/>
  <c r="H55" i="47"/>
  <c r="G55" i="47"/>
  <c r="B10" i="47"/>
  <c r="G43" i="47"/>
  <c r="H36" i="47"/>
  <c r="H43" i="47" s="1"/>
  <c r="G24" i="47"/>
  <c r="C3" i="47" s="1"/>
  <c r="H3" i="47" s="1"/>
  <c r="I3" i="47" s="1"/>
  <c r="G17" i="47"/>
  <c r="G78" i="47"/>
  <c r="H70" i="47"/>
  <c r="H78" i="47" s="1"/>
  <c r="G86" i="47"/>
  <c r="H83" i="47"/>
  <c r="H86" i="47" s="1"/>
  <c r="H17" i="47"/>
  <c r="H29" i="47"/>
  <c r="H31" i="47" s="1"/>
  <c r="C8" i="46"/>
  <c r="C2" i="47" l="1"/>
  <c r="H2" i="47" s="1"/>
  <c r="C10" i="47"/>
  <c r="G9" i="46"/>
  <c r="G10" i="46"/>
  <c r="D9" i="46"/>
  <c r="D10" i="46"/>
  <c r="C9" i="46"/>
  <c r="C10" i="46"/>
  <c r="D14" i="46"/>
  <c r="I2" i="47" l="1"/>
  <c r="I10" i="47" s="1"/>
  <c r="H10" i="47"/>
  <c r="C12" i="46"/>
  <c r="G12" i="46" s="1"/>
  <c r="C13" i="46"/>
  <c r="G13" i="46" s="1"/>
  <c r="C11" i="46"/>
  <c r="G11" i="46" s="1"/>
  <c r="G8" i="46"/>
  <c r="G14" i="46" l="1"/>
  <c r="I3" i="46" s="1"/>
  <c r="C14" i="46"/>
  <c r="G6" i="45"/>
  <c r="G5" i="45"/>
  <c r="G4" i="45"/>
  <c r="D32" i="45"/>
  <c r="D33" i="45"/>
  <c r="D31" i="45"/>
  <c r="D30" i="45"/>
  <c r="D28" i="45"/>
  <c r="D29" i="45"/>
  <c r="D26" i="45"/>
  <c r="D27" i="45"/>
  <c r="D34" i="45"/>
  <c r="D35" i="45"/>
  <c r="D36" i="45"/>
  <c r="D37" i="45"/>
  <c r="D25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9" i="45"/>
  <c r="C15" i="45"/>
  <c r="C38" i="45" s="1"/>
  <c r="I4" i="46" l="1"/>
  <c r="I5" i="46" s="1"/>
  <c r="D38" i="45"/>
  <c r="B8" i="44" l="1"/>
  <c r="I3" i="44" s="1"/>
  <c r="B16" i="43" l="1"/>
  <c r="I3" i="43"/>
  <c r="I4" i="43" s="1"/>
  <c r="C9" i="42" l="1"/>
  <c r="C9" i="40"/>
  <c r="H3" i="42" l="1"/>
  <c r="H3" i="40"/>
  <c r="H3" i="39" l="1"/>
  <c r="C25" i="39"/>
  <c r="H14" i="39"/>
  <c r="C14" i="39"/>
  <c r="D47" i="38" l="1"/>
  <c r="D38" i="38"/>
  <c r="J6" i="38" s="1"/>
  <c r="D32" i="38"/>
  <c r="J5" i="38" s="1"/>
  <c r="D23" i="38"/>
  <c r="J4" i="38" s="1"/>
  <c r="D14" i="38"/>
  <c r="J3" i="38" s="1"/>
  <c r="J8" i="38" s="1"/>
  <c r="J7" i="38"/>
  <c r="B12" i="31" l="1"/>
  <c r="B11" i="31"/>
  <c r="B10" i="31"/>
  <c r="B10" i="37"/>
  <c r="B11" i="37"/>
  <c r="B12" i="37"/>
  <c r="B13" i="31" l="1"/>
  <c r="I3" i="31" s="1"/>
  <c r="I6" i="31" s="1"/>
  <c r="I4" i="31"/>
  <c r="B13" i="37"/>
  <c r="I3" i="37" s="1"/>
  <c r="B9" i="36"/>
  <c r="B11" i="36"/>
  <c r="B7" i="36"/>
  <c r="B12" i="36"/>
  <c r="B10" i="36"/>
  <c r="B8" i="36"/>
  <c r="I5" i="31" l="1"/>
  <c r="I5" i="37"/>
  <c r="I6" i="37"/>
  <c r="I4" i="37"/>
  <c r="B13" i="36"/>
  <c r="E3" i="36" s="1"/>
  <c r="G52" i="35"/>
  <c r="G35" i="35"/>
  <c r="G53" i="35"/>
  <c r="G47" i="35"/>
  <c r="G29" i="35"/>
  <c r="G13" i="35"/>
  <c r="E9" i="33" l="1"/>
  <c r="E6" i="33"/>
  <c r="E7" i="33"/>
  <c r="E10" i="33"/>
  <c r="J6" i="33"/>
  <c r="B9" i="33"/>
  <c r="J8" i="33"/>
  <c r="J7" i="33"/>
  <c r="E8" i="33"/>
  <c r="B8" i="33"/>
  <c r="B7" i="33"/>
  <c r="B6" i="33"/>
  <c r="G33" i="35" l="1"/>
  <c r="G34" i="35"/>
  <c r="G36" i="35"/>
  <c r="G37" i="35"/>
  <c r="G38" i="35"/>
  <c r="G39" i="35"/>
  <c r="G32" i="35"/>
  <c r="G48" i="35"/>
  <c r="G49" i="35"/>
  <c r="G50" i="35"/>
  <c r="G51" i="35"/>
  <c r="G54" i="35"/>
  <c r="G55" i="35"/>
  <c r="G56" i="35"/>
  <c r="G31" i="35"/>
  <c r="G30" i="35" l="1"/>
  <c r="G40" i="35"/>
  <c r="G12" i="35" l="1"/>
  <c r="G14" i="35"/>
  <c r="G15" i="35"/>
  <c r="G16" i="35"/>
  <c r="G17" i="35"/>
  <c r="G18" i="35"/>
  <c r="G19" i="35"/>
  <c r="G20" i="35"/>
  <c r="G21" i="35"/>
  <c r="G22" i="35"/>
  <c r="G57" i="35" l="1"/>
  <c r="G46" i="35"/>
  <c r="G45" i="35"/>
  <c r="G28" i="35"/>
  <c r="G27" i="35"/>
  <c r="G41" i="35" s="1"/>
  <c r="G11" i="35"/>
  <c r="G10" i="35"/>
  <c r="G23" i="35" s="1"/>
  <c r="G58" i="35" l="1"/>
  <c r="G3" i="35" l="1"/>
  <c r="G5" i="35" s="1"/>
  <c r="F5" i="34"/>
  <c r="B32" i="34"/>
  <c r="G6" i="35" l="1"/>
  <c r="G4" i="35"/>
  <c r="C19" i="34"/>
  <c r="C20" i="34"/>
  <c r="C21" i="34"/>
  <c r="C22" i="34"/>
  <c r="C18" i="34"/>
  <c r="C23" i="34"/>
  <c r="F4" i="34" s="1"/>
  <c r="B11" i="34"/>
  <c r="B13" i="34"/>
  <c r="B23" i="34"/>
  <c r="B14" i="34"/>
  <c r="F3" i="34" s="1"/>
  <c r="D46" i="32" l="1"/>
  <c r="L7" i="32" s="1"/>
  <c r="D22" i="32"/>
  <c r="L4" i="32" s="1"/>
  <c r="D37" i="32"/>
  <c r="L6" i="32" s="1"/>
  <c r="D31" i="32"/>
  <c r="L5" i="32" s="1"/>
  <c r="D13" i="32"/>
  <c r="L3" i="32" s="1"/>
  <c r="E11" i="33" l="1"/>
  <c r="J9" i="33"/>
  <c r="J458" i="28"/>
  <c r="J459" i="28"/>
  <c r="J457" i="28"/>
  <c r="J451" i="28"/>
  <c r="J450" i="28"/>
  <c r="J449" i="28"/>
  <c r="J441" i="28"/>
  <c r="J442" i="28"/>
  <c r="J440" i="28"/>
  <c r="L3" i="33" l="1"/>
  <c r="B10" i="30" l="1"/>
  <c r="B9" i="30"/>
  <c r="B8" i="30"/>
  <c r="E10" i="30" l="1"/>
  <c r="E9" i="30"/>
  <c r="E8" i="30"/>
  <c r="B11" i="30"/>
  <c r="I3" i="30" s="1"/>
  <c r="E11" i="30" l="1"/>
  <c r="I4" i="30" s="1"/>
  <c r="F49" i="29"/>
  <c r="G48" i="29"/>
  <c r="H48" i="29" s="1"/>
  <c r="G47" i="29"/>
  <c r="H47" i="29" s="1"/>
  <c r="G46" i="29"/>
  <c r="H46" i="29" s="1"/>
  <c r="G45" i="29"/>
  <c r="H45" i="29" s="1"/>
  <c r="G44" i="29"/>
  <c r="H44" i="29" s="1"/>
  <c r="G43" i="29"/>
  <c r="H43" i="29" s="1"/>
  <c r="H42" i="29"/>
  <c r="G42" i="29"/>
  <c r="G41" i="29"/>
  <c r="H41" i="29" s="1"/>
  <c r="G40" i="29"/>
  <c r="H40" i="29" s="1"/>
  <c r="G39" i="29"/>
  <c r="H39" i="29" s="1"/>
  <c r="G38" i="29"/>
  <c r="G49" i="29" s="1"/>
  <c r="F32" i="29"/>
  <c r="G31" i="29"/>
  <c r="H31" i="29" s="1"/>
  <c r="G30" i="29"/>
  <c r="H30" i="29" s="1"/>
  <c r="G29" i="29"/>
  <c r="H29" i="29" s="1"/>
  <c r="G28" i="29"/>
  <c r="H28" i="29" s="1"/>
  <c r="G27" i="29"/>
  <c r="H27" i="29" s="1"/>
  <c r="G26" i="29"/>
  <c r="H26" i="29" s="1"/>
  <c r="G25" i="29"/>
  <c r="H25" i="29" s="1"/>
  <c r="G24" i="29"/>
  <c r="H24" i="29" s="1"/>
  <c r="G23" i="29"/>
  <c r="H23" i="29" s="1"/>
  <c r="G22" i="29"/>
  <c r="H22" i="29" s="1"/>
  <c r="G21" i="29"/>
  <c r="H21" i="29" s="1"/>
  <c r="F16" i="29"/>
  <c r="G15" i="29"/>
  <c r="H15" i="29" s="1"/>
  <c r="G14" i="29"/>
  <c r="H14" i="29" s="1"/>
  <c r="G13" i="29"/>
  <c r="H13" i="29" s="1"/>
  <c r="G12" i="29"/>
  <c r="H12" i="29" s="1"/>
  <c r="G11" i="29"/>
  <c r="H11" i="29" s="1"/>
  <c r="H10" i="29"/>
  <c r="G10" i="29"/>
  <c r="G9" i="29"/>
  <c r="H9" i="29" s="1"/>
  <c r="G8" i="29"/>
  <c r="H8" i="29" s="1"/>
  <c r="G7" i="29"/>
  <c r="H7" i="29" s="1"/>
  <c r="G6" i="29"/>
  <c r="H6" i="29" s="1"/>
  <c r="G5" i="29"/>
  <c r="H5" i="29" s="1"/>
  <c r="G4" i="29"/>
  <c r="H4" i="29" s="1"/>
  <c r="F443" i="28"/>
  <c r="B2" i="28" s="1"/>
  <c r="F452" i="28"/>
  <c r="B3" i="28" s="1"/>
  <c r="F460" i="28"/>
  <c r="B4" i="28" s="1"/>
  <c r="G442" i="28"/>
  <c r="G441" i="28"/>
  <c r="H441" i="28" s="1"/>
  <c r="G440" i="28"/>
  <c r="H440" i="28" s="1"/>
  <c r="G451" i="28"/>
  <c r="H451" i="28" s="1"/>
  <c r="G450" i="28"/>
  <c r="H450" i="28" s="1"/>
  <c r="G449" i="28"/>
  <c r="G458" i="28"/>
  <c r="H458" i="28" s="1"/>
  <c r="G459" i="28"/>
  <c r="H459" i="28" s="1"/>
  <c r="G457" i="28"/>
  <c r="H457" i="28" s="1"/>
  <c r="E424" i="28"/>
  <c r="E425" i="28"/>
  <c r="E426" i="28"/>
  <c r="E427" i="28"/>
  <c r="E428" i="28"/>
  <c r="E429" i="28"/>
  <c r="E430" i="28"/>
  <c r="E431" i="28"/>
  <c r="E432" i="28"/>
  <c r="E433" i="28"/>
  <c r="E434" i="28"/>
  <c r="E423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C424" i="28"/>
  <c r="C425" i="28"/>
  <c r="C426" i="28"/>
  <c r="C427" i="28"/>
  <c r="C428" i="28"/>
  <c r="C429" i="28"/>
  <c r="C430" i="28"/>
  <c r="C431" i="28"/>
  <c r="C432" i="28"/>
  <c r="C433" i="28"/>
  <c r="C434" i="28"/>
  <c r="C423" i="28"/>
  <c r="G9" i="28"/>
  <c r="B5" i="28" l="1"/>
  <c r="H32" i="29"/>
  <c r="H16" i="29"/>
  <c r="G32" i="29"/>
  <c r="H38" i="29"/>
  <c r="H49" i="29" s="1"/>
  <c r="G16" i="29"/>
  <c r="G443" i="28"/>
  <c r="C2" i="28" s="1"/>
  <c r="H442" i="28"/>
  <c r="H443" i="28" s="1"/>
  <c r="G452" i="28"/>
  <c r="C3" i="28" s="1"/>
  <c r="H3" i="28" s="1"/>
  <c r="I3" i="28" s="1"/>
  <c r="H449" i="28"/>
  <c r="H452" i="28" s="1"/>
  <c r="H460" i="28"/>
  <c r="G460" i="28"/>
  <c r="C4" i="28" s="1"/>
  <c r="H4" i="28" s="1"/>
  <c r="I4" i="28" s="1"/>
  <c r="E15" i="27"/>
  <c r="J16" i="27"/>
  <c r="L3" i="27"/>
  <c r="H2" i="28" l="1"/>
  <c r="C5" i="28"/>
  <c r="B13" i="27"/>
  <c r="B7" i="26"/>
  <c r="B8" i="26"/>
  <c r="B6" i="26"/>
  <c r="I2" i="28" l="1"/>
  <c r="I5" i="28" s="1"/>
  <c r="H5" i="28"/>
  <c r="B9" i="26"/>
  <c r="L3" i="26" s="1"/>
  <c r="B8" i="25"/>
  <c r="B7" i="25"/>
  <c r="B6" i="25"/>
  <c r="B9" i="25" l="1"/>
  <c r="K3" i="25" s="1"/>
  <c r="C15" i="24" l="1"/>
  <c r="K3" i="24"/>
  <c r="G15" i="23" l="1"/>
  <c r="C13" i="23"/>
  <c r="K13" i="23"/>
  <c r="K3" i="23" l="1"/>
  <c r="E17" i="22"/>
  <c r="F16" i="22"/>
  <c r="G16" i="22" s="1"/>
  <c r="F15" i="22"/>
  <c r="G15" i="22" s="1"/>
  <c r="G14" i="22"/>
  <c r="D13" i="22"/>
  <c r="G13" i="22" s="1"/>
  <c r="D12" i="22"/>
  <c r="G12" i="22" s="1"/>
  <c r="D11" i="22"/>
  <c r="G11" i="22" s="1"/>
  <c r="D10" i="22"/>
  <c r="G10" i="22" s="1"/>
  <c r="D9" i="22"/>
  <c r="G9" i="22" s="1"/>
  <c r="D8" i="22"/>
  <c r="G8" i="22" s="1"/>
  <c r="G7" i="22"/>
  <c r="D7" i="22"/>
  <c r="D6" i="22"/>
  <c r="G6" i="22" s="1"/>
  <c r="D5" i="22"/>
  <c r="G5" i="22" s="1"/>
  <c r="D4" i="22"/>
  <c r="G4" i="22" s="1"/>
  <c r="E24" i="21"/>
  <c r="F24" i="21" s="1"/>
  <c r="E23" i="21"/>
  <c r="F23" i="21" s="1"/>
  <c r="E22" i="21"/>
  <c r="F22" i="21" s="1"/>
  <c r="E21" i="21"/>
  <c r="D20" i="21"/>
  <c r="F20" i="21" s="1"/>
  <c r="D19" i="21"/>
  <c r="F19" i="21" s="1"/>
  <c r="D18" i="21"/>
  <c r="F18" i="21" s="1"/>
  <c r="D17" i="21"/>
  <c r="F17" i="21" s="1"/>
  <c r="D16" i="21"/>
  <c r="F16" i="21" s="1"/>
  <c r="D15" i="21"/>
  <c r="F15" i="21" s="1"/>
  <c r="D14" i="21"/>
  <c r="F14" i="21" s="1"/>
  <c r="F13" i="21"/>
  <c r="D13" i="21"/>
  <c r="D12" i="21"/>
  <c r="F12" i="21" s="1"/>
  <c r="D11" i="21"/>
  <c r="F11" i="21" s="1"/>
  <c r="D10" i="21"/>
  <c r="F10" i="21" s="1"/>
  <c r="D9" i="21"/>
  <c r="F9" i="21" s="1"/>
  <c r="D8" i="21"/>
  <c r="F8" i="21" s="1"/>
  <c r="D7" i="21"/>
  <c r="F7" i="21" s="1"/>
  <c r="D6" i="21"/>
  <c r="F6" i="21" s="1"/>
  <c r="D5" i="21"/>
  <c r="F5" i="21" s="1"/>
  <c r="D4" i="21"/>
  <c r="F4" i="21" s="1"/>
  <c r="E23" i="20"/>
  <c r="F23" i="20" s="1"/>
  <c r="F22" i="20"/>
  <c r="E21" i="20"/>
  <c r="F21" i="20" s="1"/>
  <c r="D20" i="20"/>
  <c r="F20" i="20" s="1"/>
  <c r="D19" i="20"/>
  <c r="F19" i="20" s="1"/>
  <c r="D18" i="20"/>
  <c r="F18" i="20" s="1"/>
  <c r="D16" i="20"/>
  <c r="D17" i="20" s="1"/>
  <c r="F17" i="20" s="1"/>
  <c r="F15" i="20"/>
  <c r="D14" i="20"/>
  <c r="F14" i="20" s="1"/>
  <c r="D13" i="20"/>
  <c r="F13" i="20" s="1"/>
  <c r="D12" i="20"/>
  <c r="F12" i="20" s="1"/>
  <c r="D11" i="20"/>
  <c r="F11" i="20" s="1"/>
  <c r="D10" i="20"/>
  <c r="F10" i="20" s="1"/>
  <c r="D9" i="20"/>
  <c r="F9" i="20" s="1"/>
  <c r="D8" i="20"/>
  <c r="F8" i="20" s="1"/>
  <c r="D7" i="20"/>
  <c r="F7" i="20" s="1"/>
  <c r="D6" i="20"/>
  <c r="F6" i="20" s="1"/>
  <c r="D5" i="20"/>
  <c r="F5" i="20" s="1"/>
  <c r="D4" i="20"/>
  <c r="E25" i="21" l="1"/>
  <c r="F17" i="22"/>
  <c r="G17" i="22"/>
  <c r="E24" i="20"/>
  <c r="D24" i="20"/>
  <c r="F4" i="20"/>
  <c r="F24" i="20" s="1"/>
  <c r="F25" i="21"/>
  <c r="F21" i="21"/>
  <c r="D17" i="22"/>
  <c r="D25" i="21"/>
  <c r="F16" i="20"/>
  <c r="D51" i="17"/>
  <c r="D50" i="17"/>
  <c r="D49" i="17"/>
  <c r="D48" i="17"/>
  <c r="D47" i="17"/>
  <c r="D46" i="17"/>
  <c r="D14" i="17"/>
  <c r="D11" i="17"/>
  <c r="D10" i="17"/>
  <c r="D9" i="17"/>
  <c r="D8" i="17"/>
  <c r="D4" i="17"/>
  <c r="D5" i="17"/>
  <c r="D6" i="17"/>
  <c r="D12" i="17"/>
  <c r="D20" i="17"/>
  <c r="D21" i="17"/>
  <c r="D19" i="17"/>
  <c r="D18" i="17"/>
  <c r="D17" i="17"/>
  <c r="D7" i="17"/>
  <c r="D13" i="17"/>
  <c r="N93" i="17"/>
  <c r="N92" i="17"/>
  <c r="M93" i="17"/>
  <c r="M92" i="17"/>
  <c r="L93" i="17"/>
  <c r="L92" i="17"/>
  <c r="S92" i="17"/>
  <c r="S93" i="17"/>
  <c r="Q92" i="17"/>
  <c r="N21" i="17"/>
  <c r="N20" i="17"/>
  <c r="N19" i="17"/>
  <c r="N18" i="17"/>
  <c r="N17" i="17"/>
  <c r="N30" i="17"/>
  <c r="M30" i="17"/>
  <c r="L30" i="17"/>
  <c r="N29" i="17"/>
  <c r="M29" i="17"/>
  <c r="Q29" i="17" s="1"/>
  <c r="L29" i="17"/>
  <c r="M61" i="17"/>
  <c r="M62" i="17"/>
  <c r="L62" i="17"/>
  <c r="L61" i="17"/>
  <c r="N62" i="17"/>
  <c r="N61" i="17"/>
  <c r="F3" i="16" l="1"/>
  <c r="Q93" i="17"/>
  <c r="F29" i="17"/>
  <c r="E61" i="17"/>
  <c r="Q61" i="17" s="1"/>
  <c r="F62" i="17"/>
  <c r="F61" i="17"/>
  <c r="E93" i="17"/>
  <c r="G16" i="17"/>
  <c r="D15" i="17"/>
  <c r="E24" i="17" l="1"/>
  <c r="G24" i="17" s="1"/>
  <c r="G23" i="17"/>
  <c r="F25" i="17"/>
  <c r="F30" i="17" s="1"/>
  <c r="R53" i="17"/>
  <c r="N53" i="17"/>
  <c r="T53" i="17" s="1"/>
  <c r="R52" i="17"/>
  <c r="N52" i="17"/>
  <c r="R51" i="17"/>
  <c r="N51" i="17"/>
  <c r="R50" i="17"/>
  <c r="N50" i="17"/>
  <c r="R49" i="17"/>
  <c r="N49" i="17"/>
  <c r="G89" i="17"/>
  <c r="R87" i="17"/>
  <c r="N87" i="17"/>
  <c r="R86" i="17"/>
  <c r="N86" i="17"/>
  <c r="T86" i="17" s="1"/>
  <c r="R85" i="17"/>
  <c r="N85" i="17"/>
  <c r="R84" i="17"/>
  <c r="N84" i="17"/>
  <c r="R83" i="17"/>
  <c r="N83" i="17"/>
  <c r="R82" i="17"/>
  <c r="N82" i="17"/>
  <c r="T82" i="17" l="1"/>
  <c r="T52" i="17"/>
  <c r="T85" i="17"/>
  <c r="T50" i="17"/>
  <c r="T83" i="17"/>
  <c r="T87" i="17"/>
  <c r="T51" i="17"/>
  <c r="T84" i="17"/>
  <c r="T49" i="17"/>
  <c r="E89" i="17"/>
  <c r="F86" i="17" l="1"/>
  <c r="F87" i="17"/>
  <c r="F88" i="17"/>
  <c r="F85" i="17"/>
  <c r="F92" i="17" s="1"/>
  <c r="R92" i="17" s="1"/>
  <c r="D83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93" i="17" s="1"/>
  <c r="P93" i="17" s="1"/>
  <c r="D70" i="17"/>
  <c r="G21" i="17"/>
  <c r="E22" i="17"/>
  <c r="E30" i="17" s="1"/>
  <c r="Q30" i="17" s="1"/>
  <c r="D35" i="17"/>
  <c r="D36" i="17"/>
  <c r="D37" i="17"/>
  <c r="D38" i="17"/>
  <c r="D39" i="17"/>
  <c r="D40" i="17"/>
  <c r="D41" i="17"/>
  <c r="D42" i="17"/>
  <c r="D43" i="17"/>
  <c r="D44" i="17"/>
  <c r="D45" i="17"/>
  <c r="E53" i="17"/>
  <c r="E54" i="17"/>
  <c r="E55" i="17"/>
  <c r="E56" i="17"/>
  <c r="E57" i="17"/>
  <c r="D25" i="17" l="1"/>
  <c r="D29" i="17"/>
  <c r="P29" i="17" s="1"/>
  <c r="D30" i="17"/>
  <c r="P30" i="17" s="1"/>
  <c r="F93" i="17"/>
  <c r="R93" i="17" s="1"/>
  <c r="D61" i="17"/>
  <c r="P61" i="17" s="1"/>
  <c r="E62" i="17"/>
  <c r="Q62" i="17" s="1"/>
  <c r="G22" i="17"/>
  <c r="E25" i="17"/>
  <c r="D62" i="17"/>
  <c r="P62" i="17" s="1"/>
  <c r="D92" i="17"/>
  <c r="P92" i="17" s="1"/>
  <c r="F89" i="17"/>
  <c r="G41" i="17"/>
  <c r="G42" i="17"/>
  <c r="G45" i="17"/>
  <c r="G46" i="17"/>
  <c r="G49" i="17"/>
  <c r="G50" i="17"/>
  <c r="G37" i="17"/>
  <c r="G38" i="17"/>
  <c r="G39" i="17"/>
  <c r="G40" i="17"/>
  <c r="H70" i="17"/>
  <c r="D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F58" i="17"/>
  <c r="AA17" i="17"/>
  <c r="W17" i="17"/>
  <c r="Z23" i="17"/>
  <c r="Y23" i="17"/>
  <c r="V23" i="17"/>
  <c r="U23" i="17"/>
  <c r="AA21" i="17"/>
  <c r="AA20" i="17"/>
  <c r="AA19" i="17"/>
  <c r="AA18" i="17"/>
  <c r="AA16" i="17"/>
  <c r="AA14" i="17"/>
  <c r="AA13" i="17"/>
  <c r="AA12" i="17"/>
  <c r="AA11" i="17"/>
  <c r="AA10" i="17"/>
  <c r="AA8" i="17"/>
  <c r="AA7" i="17"/>
  <c r="AA6" i="17"/>
  <c r="AA5" i="17"/>
  <c r="AA4" i="17"/>
  <c r="W5" i="17"/>
  <c r="W6" i="17"/>
  <c r="W7" i="17"/>
  <c r="W8" i="17"/>
  <c r="W10" i="17"/>
  <c r="W11" i="17"/>
  <c r="W12" i="17"/>
  <c r="W13" i="17"/>
  <c r="W14" i="17"/>
  <c r="W16" i="17"/>
  <c r="W18" i="17"/>
  <c r="W19" i="17"/>
  <c r="AC19" i="17" s="1"/>
  <c r="W20" i="17"/>
  <c r="W21" i="17"/>
  <c r="W4" i="17"/>
  <c r="G51" i="17"/>
  <c r="G48" i="17"/>
  <c r="G47" i="17"/>
  <c r="G44" i="17"/>
  <c r="G43" i="17"/>
  <c r="G36" i="17"/>
  <c r="G20" i="17"/>
  <c r="G19" i="17"/>
  <c r="G18" i="17"/>
  <c r="G17" i="17"/>
  <c r="G15" i="17"/>
  <c r="G14" i="17"/>
  <c r="G13" i="17"/>
  <c r="G12" i="17"/>
  <c r="G11" i="17"/>
  <c r="G10" i="17"/>
  <c r="G9" i="17"/>
  <c r="G8" i="17"/>
  <c r="G7" i="17"/>
  <c r="G6" i="17"/>
  <c r="G5" i="17"/>
  <c r="G4" i="17"/>
  <c r="AC8" i="17" l="1"/>
  <c r="H89" i="17"/>
  <c r="G25" i="17"/>
  <c r="G54" i="17"/>
  <c r="G56" i="17"/>
  <c r="G57" i="17"/>
  <c r="G55" i="17"/>
  <c r="G53" i="17"/>
  <c r="E58" i="17"/>
  <c r="G52" i="17"/>
  <c r="D58" i="17"/>
  <c r="G35" i="17"/>
  <c r="G58" i="17" s="1"/>
  <c r="AC21" i="17"/>
  <c r="AC11" i="17"/>
  <c r="AC17" i="17"/>
  <c r="AC14" i="17"/>
  <c r="AA23" i="17"/>
  <c r="AC20" i="17"/>
  <c r="AC10" i="17"/>
  <c r="AC12" i="17"/>
  <c r="AC18" i="17"/>
  <c r="AC7" i="17"/>
  <c r="AC16" i="17"/>
  <c r="AC6" i="17"/>
  <c r="AC4" i="17"/>
  <c r="AC5" i="17"/>
  <c r="AC13" i="17"/>
  <c r="W23" i="17"/>
  <c r="AC23" i="17" l="1"/>
  <c r="F5" i="16" l="1"/>
  <c r="F4" i="16"/>
  <c r="C22" i="14"/>
  <c r="E22" i="14"/>
  <c r="D22" i="14"/>
  <c r="G17" i="11"/>
  <c r="G18" i="11"/>
  <c r="G19" i="11"/>
  <c r="E16" i="15" l="1"/>
  <c r="E20" i="15" s="1"/>
  <c r="D8" i="14"/>
  <c r="C8" i="14"/>
  <c r="B8" i="14"/>
  <c r="C16" i="14"/>
  <c r="D16" i="14"/>
  <c r="B16" i="14"/>
  <c r="B15" i="14"/>
  <c r="B7" i="14"/>
  <c r="C7" i="14"/>
  <c r="D7" i="14"/>
  <c r="D15" i="14"/>
  <c r="D5" i="14"/>
  <c r="C5" i="14"/>
  <c r="B5" i="14"/>
  <c r="B13" i="14"/>
  <c r="D13" i="14"/>
  <c r="C13" i="14"/>
  <c r="C15" i="14"/>
  <c r="G8" i="11"/>
  <c r="G6" i="11"/>
  <c r="F22" i="11"/>
  <c r="G9" i="11"/>
  <c r="E22" i="11"/>
  <c r="E11" i="15" s="1"/>
  <c r="E15" i="15" s="1"/>
  <c r="G20" i="11"/>
  <c r="G16" i="11"/>
  <c r="G14" i="11"/>
  <c r="G13" i="11"/>
  <c r="G7" i="11"/>
  <c r="D22" i="11"/>
  <c r="E21" i="15" s="1"/>
  <c r="E25" i="15" s="1"/>
  <c r="E18" i="15" l="1"/>
  <c r="E19" i="15"/>
  <c r="E5" i="15"/>
  <c r="E12" i="15"/>
  <c r="E13" i="15"/>
  <c r="E14" i="15"/>
  <c r="E22" i="15"/>
  <c r="E7" i="15"/>
  <c r="E23" i="15"/>
  <c r="E24" i="15"/>
  <c r="E17" i="15"/>
  <c r="G12" i="11"/>
  <c r="G10" i="11"/>
  <c r="G15" i="11"/>
  <c r="G11" i="11"/>
  <c r="G5" i="11"/>
  <c r="C22" i="11"/>
  <c r="E6" i="15" s="1"/>
  <c r="E10" i="15" s="1"/>
  <c r="G21" i="11"/>
  <c r="E21" i="10"/>
  <c r="E16" i="10"/>
  <c r="E11" i="10"/>
  <c r="E6" i="10"/>
  <c r="D27" i="9"/>
  <c r="C27" i="9"/>
  <c r="E9" i="15" l="1"/>
  <c r="E8" i="15"/>
  <c r="E4" i="15"/>
  <c r="G22" i="11"/>
  <c r="F19" i="9"/>
  <c r="F20" i="9"/>
  <c r="F21" i="9"/>
  <c r="F18" i="9"/>
  <c r="E26" i="9"/>
  <c r="M5" i="7"/>
  <c r="D14" i="7"/>
  <c r="D25" i="9"/>
  <c r="C25" i="9"/>
  <c r="D24" i="9"/>
  <c r="C24" i="9"/>
  <c r="D23" i="9"/>
  <c r="C23" i="9"/>
  <c r="D22" i="9"/>
  <c r="C22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E20" i="10" l="1"/>
  <c r="E19" i="10"/>
  <c r="E18" i="10"/>
  <c r="E17" i="10"/>
  <c r="E13" i="10"/>
  <c r="E12" i="10" l="1"/>
  <c r="E14" i="10"/>
  <c r="E15" i="10"/>
  <c r="D5" i="9" l="1"/>
  <c r="I5" i="9"/>
  <c r="C5" i="9"/>
  <c r="H5" i="9"/>
  <c r="H7" i="9" l="1"/>
  <c r="H8" i="9"/>
  <c r="J8" i="9"/>
  <c r="I6" i="9" l="1"/>
  <c r="K6" i="9" s="1"/>
  <c r="J7" i="9"/>
  <c r="I7" i="9"/>
  <c r="K7" i="9" s="1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4" i="9"/>
  <c r="K5" i="9"/>
  <c r="I8" i="9"/>
  <c r="K8" i="9" s="1"/>
  <c r="F28" i="9"/>
  <c r="E28" i="9"/>
  <c r="U27" i="9"/>
  <c r="W27" i="9" s="1"/>
  <c r="Z27" i="9" s="1"/>
  <c r="W26" i="9"/>
  <c r="Z26" i="9" s="1"/>
  <c r="G26" i="9"/>
  <c r="W25" i="9"/>
  <c r="Z25" i="9" s="1"/>
  <c r="G25" i="9"/>
  <c r="W24" i="9"/>
  <c r="Z24" i="9" s="1"/>
  <c r="G24" i="9"/>
  <c r="W23" i="9"/>
  <c r="Z23" i="9" s="1"/>
  <c r="W22" i="9"/>
  <c r="Z22" i="9" s="1"/>
  <c r="G22" i="9" s="1"/>
  <c r="W21" i="9"/>
  <c r="Z21" i="9" s="1"/>
  <c r="W20" i="9"/>
  <c r="Z20" i="9" s="1"/>
  <c r="G20" i="9"/>
  <c r="W19" i="9"/>
  <c r="Z19" i="9" s="1"/>
  <c r="G19" i="9"/>
  <c r="W18" i="9"/>
  <c r="Z18" i="9" s="1"/>
  <c r="G18" i="9"/>
  <c r="W17" i="9"/>
  <c r="Z17" i="9" s="1"/>
  <c r="G17" i="9"/>
  <c r="W16" i="9"/>
  <c r="Z16" i="9" s="1"/>
  <c r="G16" i="9"/>
  <c r="W15" i="9"/>
  <c r="Z15" i="9" s="1"/>
  <c r="W14" i="9"/>
  <c r="Z14" i="9" s="1"/>
  <c r="W13" i="9"/>
  <c r="Z13" i="9" s="1"/>
  <c r="W12" i="9"/>
  <c r="Z12" i="9" s="1"/>
  <c r="W11" i="9"/>
  <c r="Z11" i="9" s="1"/>
  <c r="W10" i="9"/>
  <c r="Z10" i="9" s="1"/>
  <c r="W9" i="9"/>
  <c r="Z9" i="9" s="1"/>
  <c r="W8" i="9"/>
  <c r="Z8" i="9" s="1"/>
  <c r="W7" i="9"/>
  <c r="Z7" i="9" s="1"/>
  <c r="W6" i="9"/>
  <c r="Z6" i="9" s="1"/>
  <c r="W5" i="9"/>
  <c r="Z5" i="9" s="1"/>
  <c r="G11" i="9" l="1"/>
  <c r="G6" i="9"/>
  <c r="G7" i="9"/>
  <c r="G8" i="9"/>
  <c r="G13" i="9"/>
  <c r="G21" i="9"/>
  <c r="G27" i="9"/>
  <c r="G9" i="9"/>
  <c r="G41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5" i="7"/>
  <c r="E16" i="8"/>
  <c r="E17" i="8" s="1"/>
  <c r="E11" i="8"/>
  <c r="E15" i="8" s="1"/>
  <c r="E14" i="8"/>
  <c r="E13" i="8"/>
  <c r="E12" i="8"/>
  <c r="D28" i="9" l="1"/>
  <c r="G23" i="9"/>
  <c r="G10" i="9"/>
  <c r="C28" i="9"/>
  <c r="G5" i="9"/>
  <c r="G15" i="9"/>
  <c r="G14" i="9"/>
  <c r="G12" i="9"/>
  <c r="E20" i="8"/>
  <c r="E19" i="8"/>
  <c r="E18" i="8"/>
  <c r="G28" i="9" l="1"/>
  <c r="G7" i="7"/>
  <c r="G8" i="7"/>
  <c r="G17" i="7"/>
  <c r="G18" i="7"/>
  <c r="G19" i="7"/>
  <c r="G20" i="7"/>
  <c r="G21" i="7"/>
  <c r="G25" i="7"/>
  <c r="G26" i="7"/>
  <c r="G27" i="7"/>
  <c r="G29" i="7"/>
  <c r="G30" i="7"/>
  <c r="G31" i="7"/>
  <c r="G32" i="7"/>
  <c r="G34" i="7"/>
  <c r="G35" i="7"/>
  <c r="G38" i="7"/>
  <c r="G39" i="7"/>
  <c r="G40" i="7"/>
  <c r="G42" i="7"/>
  <c r="G5" i="7"/>
  <c r="E45" i="7"/>
  <c r="F45" i="7"/>
  <c r="C6" i="7"/>
  <c r="D6" i="7"/>
  <c r="G6" i="7" s="1"/>
  <c r="C7" i="7"/>
  <c r="D7" i="7"/>
  <c r="C8" i="7"/>
  <c r="D8" i="7"/>
  <c r="C9" i="7"/>
  <c r="D9" i="7"/>
  <c r="C10" i="7"/>
  <c r="D10" i="7"/>
  <c r="C11" i="7"/>
  <c r="G11" i="7" s="1"/>
  <c r="D11" i="7"/>
  <c r="C12" i="7"/>
  <c r="G12" i="7" s="1"/>
  <c r="D12" i="7"/>
  <c r="C13" i="7"/>
  <c r="D13" i="7"/>
  <c r="C14" i="7"/>
  <c r="G14" i="7" s="1"/>
  <c r="C15" i="7"/>
  <c r="G15" i="7" s="1"/>
  <c r="D15" i="7"/>
  <c r="C16" i="7"/>
  <c r="G16" i="7" s="1"/>
  <c r="D16" i="7"/>
  <c r="C22" i="7"/>
  <c r="D22" i="7"/>
  <c r="C23" i="7"/>
  <c r="G23" i="7" s="1"/>
  <c r="D23" i="7"/>
  <c r="C24" i="7"/>
  <c r="G24" i="7" s="1"/>
  <c r="D24" i="7"/>
  <c r="C28" i="7"/>
  <c r="G28" i="7" s="1"/>
  <c r="D28" i="7"/>
  <c r="C33" i="7"/>
  <c r="D33" i="7"/>
  <c r="C36" i="7"/>
  <c r="G36" i="7" s="1"/>
  <c r="D36" i="7"/>
  <c r="C37" i="7"/>
  <c r="G37" i="7" s="1"/>
  <c r="D37" i="7"/>
  <c r="C40" i="7"/>
  <c r="D40" i="7"/>
  <c r="C43" i="7"/>
  <c r="D43" i="7"/>
  <c r="C44" i="7"/>
  <c r="G44" i="7" s="1"/>
  <c r="D44" i="7"/>
  <c r="D5" i="7"/>
  <c r="C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9" i="7"/>
  <c r="M30" i="7"/>
  <c r="M31" i="7"/>
  <c r="M32" i="7"/>
  <c r="M33" i="7"/>
  <c r="M34" i="7"/>
  <c r="M35" i="7"/>
  <c r="M36" i="7"/>
  <c r="M37" i="7"/>
  <c r="M38" i="7"/>
  <c r="M39" i="7"/>
  <c r="M41" i="7"/>
  <c r="M42" i="7"/>
  <c r="M43" i="7"/>
  <c r="M44" i="7"/>
  <c r="K40" i="7"/>
  <c r="M40" i="7" s="1"/>
  <c r="K31" i="7"/>
  <c r="K28" i="7"/>
  <c r="M28" i="7" s="1"/>
  <c r="G10" i="7" l="1"/>
  <c r="G43" i="7"/>
  <c r="G22" i="7"/>
  <c r="G13" i="7"/>
  <c r="G9" i="7"/>
  <c r="G33" i="7"/>
  <c r="D45" i="7"/>
  <c r="C45" i="7"/>
  <c r="E21" i="8" l="1"/>
  <c r="E6" i="8"/>
  <c r="E7" i="8" s="1"/>
  <c r="E23" i="8"/>
  <c r="E8" i="8"/>
  <c r="E10" i="8"/>
  <c r="E9" i="8"/>
  <c r="E3" i="8"/>
  <c r="E4" i="8" s="1"/>
  <c r="G45" i="7"/>
  <c r="E9" i="10" l="1"/>
  <c r="E10" i="10"/>
  <c r="E3" i="10"/>
  <c r="E7" i="10"/>
  <c r="E8" i="10"/>
  <c r="E5" i="8"/>
  <c r="E25" i="10"/>
  <c r="E22" i="10"/>
  <c r="E23" i="10"/>
  <c r="E24" i="10"/>
  <c r="E25" i="8"/>
  <c r="E22" i="8"/>
  <c r="E24" i="8"/>
  <c r="E5" i="10" l="1"/>
  <c r="E4" i="10"/>
</calcChain>
</file>

<file path=xl/sharedStrings.xml><?xml version="1.0" encoding="utf-8"?>
<sst xmlns="http://schemas.openxmlformats.org/spreadsheetml/2006/main" count="1799" uniqueCount="388">
  <si>
    <t>№ п.п.</t>
  </si>
  <si>
    <t>Наименование</t>
  </si>
  <si>
    <t>Спецификация выполненных работ</t>
  </si>
  <si>
    <t>Итог</t>
  </si>
  <si>
    <t>Объем, м²</t>
  </si>
  <si>
    <t>Помещения:</t>
  </si>
  <si>
    <t>Штукатурка цементная</t>
  </si>
  <si>
    <t>1.2</t>
  </si>
  <si>
    <t>Объем</t>
  </si>
  <si>
    <t>пог. м</t>
  </si>
  <si>
    <t>кг</t>
  </si>
  <si>
    <t>1</t>
  </si>
  <si>
    <t>2</t>
  </si>
  <si>
    <t>2.1</t>
  </si>
  <si>
    <t>2.2</t>
  </si>
  <si>
    <t>Ед. изм.</t>
  </si>
  <si>
    <t>Коэф. расхода</t>
  </si>
  <si>
    <t>Грунтовка универсальный ЛАСТИМИН_ / LP-51 А</t>
  </si>
  <si>
    <t>Грунтовка БЕТОН-КОНТАКТ_/</t>
  </si>
  <si>
    <t>сумма:</t>
  </si>
  <si>
    <t>длина полилинии</t>
  </si>
  <si>
    <t>2.001</t>
  </si>
  <si>
    <t>2.002</t>
  </si>
  <si>
    <t>2.003</t>
  </si>
  <si>
    <t>2.004</t>
  </si>
  <si>
    <t>2.005</t>
  </si>
  <si>
    <t>2.007</t>
  </si>
  <si>
    <t>2.008</t>
  </si>
  <si>
    <t>2.009</t>
  </si>
  <si>
    <t>2.010</t>
  </si>
  <si>
    <t>2.011</t>
  </si>
  <si>
    <t>2.012</t>
  </si>
  <si>
    <t>2.013</t>
  </si>
  <si>
    <t>2.014</t>
  </si>
  <si>
    <t>2.015</t>
  </si>
  <si>
    <t>*4000</t>
  </si>
  <si>
    <t>ТИП</t>
  </si>
  <si>
    <t>2.016</t>
  </si>
  <si>
    <t>2.017</t>
  </si>
  <si>
    <t>чст-1,2</t>
  </si>
  <si>
    <t>2.162</t>
  </si>
  <si>
    <t>2.168</t>
  </si>
  <si>
    <t>2.080</t>
  </si>
  <si>
    <t>2.088</t>
  </si>
  <si>
    <t>2.089</t>
  </si>
  <si>
    <t>2.090</t>
  </si>
  <si>
    <t>2.091</t>
  </si>
  <si>
    <t>2.094</t>
  </si>
  <si>
    <t>2.095</t>
  </si>
  <si>
    <t>2.096</t>
  </si>
  <si>
    <t>2.097</t>
  </si>
  <si>
    <t>2.098</t>
  </si>
  <si>
    <t>2.099</t>
  </si>
  <si>
    <t>2.100</t>
  </si>
  <si>
    <t>2.101</t>
  </si>
  <si>
    <t>2.102</t>
  </si>
  <si>
    <t>2.075</t>
  </si>
  <si>
    <t>2.103</t>
  </si>
  <si>
    <t>2.104</t>
  </si>
  <si>
    <t>2.105</t>
  </si>
  <si>
    <t>2.106</t>
  </si>
  <si>
    <t>2.107</t>
  </si>
  <si>
    <t>2.108</t>
  </si>
  <si>
    <t>2.109</t>
  </si>
  <si>
    <t>Штукатурка стен</t>
  </si>
  <si>
    <t>ЧСТ-1</t>
  </si>
  <si>
    <t>Минус окна</t>
  </si>
  <si>
    <t>СТ-8, СТ-8.1</t>
  </si>
  <si>
    <t>СТ-5, СТ-5.1</t>
  </si>
  <si>
    <t xml:space="preserve">ЧСТ-2, ЧСТ-4 </t>
  </si>
  <si>
    <t>Ведомость работ и используемых материалов (Штукатурка)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</si>
  <si>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</si>
  <si>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1.3</t>
  </si>
  <si>
    <t>Лента армирующая ( серпянка)_/150мм</t>
  </si>
  <si>
    <t>2.3</t>
  </si>
  <si>
    <t>3</t>
  </si>
  <si>
    <t>3.1</t>
  </si>
  <si>
    <t>3.2</t>
  </si>
  <si>
    <t>3.3</t>
  </si>
  <si>
    <t>3.4</t>
  </si>
  <si>
    <t>Профиль маячковый_/ПМ10</t>
  </si>
  <si>
    <t>Штукатурка стен цементным, цементно-песчаным раствором с предварительной огрунтовкой / толщ. от 21 до 40 мм / высотой от 4,01 до 8 метров - ЧСТ-1</t>
  </si>
  <si>
    <t>м2</t>
  </si>
  <si>
    <t>Штукатурка стен цементным, цементно-песчаным раствором с предварительной огрунтовкой / толщ. от 21 до 40 мм / высотой от 4,01 до 8 метров - СТ-5, СТ-5.1</t>
  </si>
  <si>
    <t>Штукатурка стен цементным, цементно-песчаным раствором с предварительной огрунтовкой / толщ. от 21 до 40 мм / высотой от 4,01 до 8 метров - СТ-8, СТ-8.1</t>
  </si>
  <si>
    <t>Штукатурка стен цементным, цементно-песчаным раствором с предварительной огрунтовкой / толщ. от 21 до 40 мм / высотой от 4,01 до 8 метров - ЧСТ-2, ЧСТ-4</t>
  </si>
  <si>
    <t>2.4</t>
  </si>
  <si>
    <t>4</t>
  </si>
  <si>
    <t>Профиль углозащ. оцинков. 31х31 мм 0.5 мм</t>
  </si>
  <si>
    <t>Шпаклевка гипсовая</t>
  </si>
  <si>
    <t>3.001</t>
  </si>
  <si>
    <t>3.002</t>
  </si>
  <si>
    <t>3.003</t>
  </si>
  <si>
    <t>3.004</t>
  </si>
  <si>
    <t>3.005</t>
  </si>
  <si>
    <t>3.006</t>
  </si>
  <si>
    <t>3.008</t>
  </si>
  <si>
    <t>3.009</t>
  </si>
  <si>
    <t>3.010</t>
  </si>
  <si>
    <t>3.011</t>
  </si>
  <si>
    <t>3.012</t>
  </si>
  <si>
    <t>3.013</t>
  </si>
  <si>
    <t>3.014</t>
  </si>
  <si>
    <t>3.015</t>
  </si>
  <si>
    <t>3.016</t>
  </si>
  <si>
    <t>3.017</t>
  </si>
  <si>
    <t>3.018</t>
  </si>
  <si>
    <t>3.019</t>
  </si>
  <si>
    <t>3.020</t>
  </si>
  <si>
    <t>3.021</t>
  </si>
  <si>
    <t>вверх блок
300</t>
  </si>
  <si>
    <t>низ 900 
ГАЗОБЛОК</t>
  </si>
  <si>
    <t>Между окнами 2700</t>
  </si>
  <si>
    <t>Сетка штукатурная_/пластиковая/10*10</t>
  </si>
  <si>
    <t>ПГП</t>
  </si>
  <si>
    <t>БЕТОН</t>
  </si>
  <si>
    <t>над окнами
ЖБ 0.3</t>
  </si>
  <si>
    <t>под окнами
ПГП 1</t>
  </si>
  <si>
    <t>ДВЕРИ В ПГП</t>
  </si>
  <si>
    <t>ДВЕРИ В ЖБ</t>
  </si>
  <si>
    <t>ПГП 
между окнами</t>
  </si>
  <si>
    <t>3.077.2</t>
  </si>
  <si>
    <t>3.092</t>
  </si>
  <si>
    <t>3.094</t>
  </si>
  <si>
    <t>1.037</t>
  </si>
  <si>
    <t>1.034</t>
  </si>
  <si>
    <t>1.035</t>
  </si>
  <si>
    <t>1.036</t>
  </si>
  <si>
    <t>1.038</t>
  </si>
  <si>
    <t>по рд</t>
  </si>
  <si>
    <t>1.050</t>
  </si>
  <si>
    <t>1.051</t>
  </si>
  <si>
    <t>2.079</t>
  </si>
  <si>
    <t>2.081</t>
  </si>
  <si>
    <t>2.084</t>
  </si>
  <si>
    <t>2.085</t>
  </si>
  <si>
    <t>2.087</t>
  </si>
  <si>
    <t>2.160</t>
  </si>
  <si>
    <t>3.085</t>
  </si>
  <si>
    <t>1 эт</t>
  </si>
  <si>
    <t>чст1</t>
  </si>
  <si>
    <t>чст2</t>
  </si>
  <si>
    <t>2 эт</t>
  </si>
  <si>
    <t>3 эт</t>
  </si>
  <si>
    <t>по ис</t>
  </si>
  <si>
    <t>Подготовка поверхности СКБ / потолка / по штукатурке / 2мм</t>
  </si>
  <si>
    <t>Шпатлевка гипсовая_ / белая / Унифицированная по ПИК-СТАНДАРТ, 30кг (BIM)</t>
  </si>
  <si>
    <t>Грунтовка универсальный ЛАСТИМИН_ / УНКОНТ ЛЮКС LP51 А</t>
  </si>
  <si>
    <t>Типы</t>
  </si>
  <si>
    <t>СТ-6</t>
  </si>
  <si>
    <t>СТ-6.1</t>
  </si>
  <si>
    <t>СТ-7</t>
  </si>
  <si>
    <t>СТ-12</t>
  </si>
  <si>
    <t>Блок:</t>
  </si>
  <si>
    <t>1.026</t>
  </si>
  <si>
    <t>ст6</t>
  </si>
  <si>
    <t>ст7</t>
  </si>
  <si>
    <t>ст12</t>
  </si>
  <si>
    <t>ст12.1</t>
  </si>
  <si>
    <t>ст12.2</t>
  </si>
  <si>
    <t>1эт</t>
  </si>
  <si>
    <t>2эт</t>
  </si>
  <si>
    <t>3эт</t>
  </si>
  <si>
    <t>-</t>
  </si>
  <si>
    <t>Итог:</t>
  </si>
  <si>
    <t>ст6.1</t>
  </si>
  <si>
    <t>Новый минус Старый</t>
  </si>
  <si>
    <t>Разница:</t>
  </si>
  <si>
    <t>1.035, 1.037</t>
  </si>
  <si>
    <t>1.040, 1.043, 1.044</t>
  </si>
  <si>
    <t>1.045, 1.046</t>
  </si>
  <si>
    <t>Новый РД</t>
  </si>
  <si>
    <t>Старый РД</t>
  </si>
  <si>
    <t>СТ-6, СТ-6.1, СТ-7
подготовка под высококачественное окрашивание</t>
  </si>
  <si>
    <t>Наименование затрат</t>
  </si>
  <si>
    <t>Описание</t>
  </si>
  <si>
    <t>№ 
пом.</t>
  </si>
  <si>
    <t>Площадь,
м2.</t>
  </si>
  <si>
    <t>1.031</t>
  </si>
  <si>
    <t>1.033</t>
  </si>
  <si>
    <t>Тип</t>
  </si>
  <si>
    <t>1.027</t>
  </si>
  <si>
    <t>1.028</t>
  </si>
  <si>
    <t>1.029</t>
  </si>
  <si>
    <t>1.030</t>
  </si>
  <si>
    <t>1.032</t>
  </si>
  <si>
    <t>СТ-6
подготовка под высококачественное окрашивание</t>
  </si>
  <si>
    <t>Штукатурка стен гипсовыми смесями с предварительной огрунтовкой СКБ / толщ. от 21 до 40 мм / высотой от 4,01 до 8 метров</t>
  </si>
  <si>
    <t>АРОР АЙСИБИ/МФ-СТРОЙ. 2 этаж, блок 5, пом. 2.111, 2.112, 2.114, 2.115, 2.116, 2.117, 2.118, 2.166, 2.167. 
Тип стен: ЧСТ-2.1</t>
  </si>
  <si>
    <t>2.111</t>
  </si>
  <si>
    <t>2.112</t>
  </si>
  <si>
    <t>2.114</t>
  </si>
  <si>
    <t>2.115</t>
  </si>
  <si>
    <t>2.116</t>
  </si>
  <si>
    <t>2.117</t>
  </si>
  <si>
    <t>2.118</t>
  </si>
  <si>
    <t>2.166</t>
  </si>
  <si>
    <t>2.167</t>
  </si>
  <si>
    <t>ЧСТ-2.1</t>
  </si>
  <si>
    <t>Облицовка стен по системе Knauf / С-626 / в 2 слоя / А-6, А-9</t>
  </si>
  <si>
    <t>Блок 1, блок 4.1
1 ,2, 3 этаж
Обшивка стояков и коллекторов</t>
  </si>
  <si>
    <t>Этаж</t>
  </si>
  <si>
    <t>Подготовка поверхности СКБ / стен / ГКЛ, ПГП / 2мм</t>
  </si>
  <si>
    <t>Поз</t>
  </si>
  <si>
    <t>ЧСТ-3</t>
  </si>
  <si>
    <t>Подготовка поверхности СКБ / стен / по штукатурке / 2мм</t>
  </si>
  <si>
    <t>Поз.</t>
  </si>
  <si>
    <t>Блок 1. 1, 2, 3, этажи. Шпаклевка финишная.</t>
  </si>
  <si>
    <t>Наименование работ</t>
  </si>
  <si>
    <t>Кол-во
штроб, шт.</t>
  </si>
  <si>
    <t>Длина, м.п.</t>
  </si>
  <si>
    <t>Штробы</t>
  </si>
  <si>
    <t>Глубина, см</t>
  </si>
  <si>
    <t>Ширина, см</t>
  </si>
  <si>
    <t>Кол-во</t>
  </si>
  <si>
    <t>Длина итого</t>
  </si>
  <si>
    <t>S шпакл, м2</t>
  </si>
  <si>
    <t>1 этаж 1 блок</t>
  </si>
  <si>
    <t>Ширина, 
мм</t>
  </si>
  <si>
    <t>3 этаж 1 блок</t>
  </si>
  <si>
    <t>2 этаж 1 блок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</si>
  <si>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</si>
  <si>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</si>
  <si>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</si>
  <si>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</si>
  <si>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</si>
  <si>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</si>
  <si>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</si>
  <si>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</si>
  <si>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</si>
  <si>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</si>
  <si>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</si>
  <si>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</si>
  <si>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Итого 3 блок</t>
  </si>
  <si>
    <t>Итого 2 блок</t>
  </si>
  <si>
    <t>Заделка штроб
1 этаж 1 блок</t>
  </si>
  <si>
    <t>Заделка штроб
2 этаж 1 блок</t>
  </si>
  <si>
    <t>Заделка штроб
3 этаж 1 блок</t>
  </si>
  <si>
    <t>Шпаклевка штроб
1 этаж 1 блок</t>
  </si>
  <si>
    <t>Шпаклевка штроб
2 этаж 1 блок</t>
  </si>
  <si>
    <t>Шпаклевка штроб
3 этаж 1 блок</t>
  </si>
  <si>
    <t>Итого:</t>
  </si>
  <si>
    <t>Демонтаж штукатурки</t>
  </si>
  <si>
    <t>Демонтаж шпаклевки</t>
  </si>
  <si>
    <t>№ 
эт.</t>
  </si>
  <si>
    <t>Демонтаж
штукатурки</t>
  </si>
  <si>
    <t xml:space="preserve">Штукатурка стен гипсовыми смесями </t>
  </si>
  <si>
    <t>Подготовка поверхности СКБ / стен.
Финишная</t>
  </si>
  <si>
    <t>Подготовка поверхности СКБ / стен.
Базовая</t>
  </si>
  <si>
    <t>Лакокрасочные работы СКБ / окраска стен / в 2 слоя</t>
  </si>
  <si>
    <t>Итого 3 этаж</t>
  </si>
  <si>
    <t>Итого 1 этаж</t>
  </si>
  <si>
    <t>Итого 2 этаж</t>
  </si>
  <si>
    <t>Облицовка поверхности стен СКБ с затиркой швов / керамической, керамогранитной плиткой до 0,2м2/шт</t>
  </si>
  <si>
    <t>1, 2, 3, этажи, блоки 1 и 4.1. Стены Тип: СТ-8</t>
  </si>
  <si>
    <t>№ Блок</t>
  </si>
  <si>
    <t>Пом</t>
  </si>
  <si>
    <t>Объем, м2:</t>
  </si>
  <si>
    <t>СТ-5</t>
  </si>
  <si>
    <t>СТ-8</t>
  </si>
  <si>
    <t>СТ-8.1</t>
  </si>
  <si>
    <t>СТ-8.2</t>
  </si>
  <si>
    <t>СТ-8.3</t>
  </si>
  <si>
    <t>1, 2, 3, этажи, блок 1. Стены Тип: СТ-8.1</t>
  </si>
  <si>
    <t>1, 2, 3, этажи, блок 1. Стены Тип: СТ-5</t>
  </si>
  <si>
    <t>1, 2, 3, этажи, блок 1. Стены Тип: СТ-8.2</t>
  </si>
  <si>
    <t>1, 2, 3, этажи, блок 1. Стены Тип: СТ-8.3</t>
  </si>
  <si>
    <t>1.039</t>
  </si>
  <si>
    <t>1.024</t>
  </si>
  <si>
    <t>Площадь,
п. м.</t>
  </si>
  <si>
    <t>п.м.</t>
  </si>
  <si>
    <t>м3</t>
  </si>
  <si>
    <t>Объем,
м3.</t>
  </si>
  <si>
    <t>Алмазная резка железобетонных конструкций (учтены расходные материалы)_ / 180 мм</t>
  </si>
  <si>
    <t>Демонтаж бетона с сохранением арматуры</t>
  </si>
  <si>
    <t>Алмазная резка</t>
  </si>
  <si>
    <t>Демонтаж бетона</t>
  </si>
  <si>
    <t>Шлифовка бетона</t>
  </si>
  <si>
    <t>Штукатурка стен с предварительной огрунтовкой СКБ</t>
  </si>
  <si>
    <t>Облицовка стен по системе Knauf</t>
  </si>
  <si>
    <t>Подготовка поверхности СКБ / стен / по штукатурке / 2мм / 
Базовая шпаклевка</t>
  </si>
  <si>
    <t>Подготовка поверхности СКБ / стен / по штукатурке / 2мм / 
Финишная шпаклевка</t>
  </si>
  <si>
    <t>Длина,
п. м.</t>
  </si>
  <si>
    <t>Высота,
п. м.</t>
  </si>
  <si>
    <t>Толщина,
п. м.</t>
  </si>
  <si>
    <t>Кол-во,
шт.</t>
  </si>
  <si>
    <t>Дверной проём, 1 этаж</t>
  </si>
  <si>
    <t>Дверной проём, 2 этаж</t>
  </si>
  <si>
    <t>Дверной проём, 3 этаж</t>
  </si>
  <si>
    <t>ВВ-25</t>
  </si>
  <si>
    <t xml:space="preserve">ДВСОП-2
</t>
  </si>
  <si>
    <t>ДВСОП-1л</t>
  </si>
  <si>
    <t>ВН-11</t>
  </si>
  <si>
    <t>ВВ-6</t>
  </si>
  <si>
    <t>ВВ-12</t>
  </si>
  <si>
    <t>ВВ-14</t>
  </si>
  <si>
    <t>ВВ-13</t>
  </si>
  <si>
    <t>ВВ-26</t>
  </si>
  <si>
    <t>ВВ-3</t>
  </si>
  <si>
    <t>ВВ-9</t>
  </si>
  <si>
    <t>ВВ-19</t>
  </si>
  <si>
    <t>ВВ-20</t>
  </si>
  <si>
    <t>ДВСГП-6.1</t>
  </si>
  <si>
    <t>ВВ-18</t>
  </si>
  <si>
    <t>ДВГП-5</t>
  </si>
  <si>
    <t>ДВСОП-5</t>
  </si>
  <si>
    <t>ДВСОП-1</t>
  </si>
  <si>
    <t>ДВСГП-9</t>
  </si>
  <si>
    <t>ВВ-22</t>
  </si>
  <si>
    <t>ВВ-8</t>
  </si>
  <si>
    <t>ВВ-28</t>
  </si>
  <si>
    <t>ВВ-27</t>
  </si>
  <si>
    <t>Штукатурка стен с/у</t>
  </si>
  <si>
    <t>Объем работ</t>
  </si>
  <si>
    <t>Штукатурка стен цементным, цементно-песчаным раствором с предварительной огрунтовкой</t>
  </si>
  <si>
    <t>1, 2, 3, этажи, блок 1. Стены</t>
  </si>
  <si>
    <t>Ведомость работ</t>
  </si>
  <si>
    <t>Ведомость работ (С\У)</t>
  </si>
  <si>
    <t>Ведомость работ (Штукатурка)</t>
  </si>
  <si>
    <t xml:space="preserve">Ведомость работ </t>
  </si>
  <si>
    <t>Монтаж, демонтаж, аренда строительных лесов</t>
  </si>
  <si>
    <t>Облицовка стен по системе Knauf / С-625 / в 1 слой с утеплением/ А-19</t>
  </si>
  <si>
    <t>2.068</t>
  </si>
  <si>
    <t>2 этаж, блок 5</t>
  </si>
  <si>
    <t>Тип стен: ЧСТ-2.1 (шпаклевка базовая)</t>
  </si>
  <si>
    <t>Тип стен: ЧСТ-2.1, шпаклевка финишна</t>
  </si>
  <si>
    <t>Ц</t>
  </si>
  <si>
    <t>Лакокрасочные работы СКБ / откосов в 2 слоя</t>
  </si>
  <si>
    <t>Устройство перегородок на металлическом каркасе по системе Knauf / C-111</t>
  </si>
  <si>
    <t>Выравнивание поверхностей откосов толщ. до 5 мм с предварительной огрунтовкой поверхности / базовая шпаклевка</t>
  </si>
  <si>
    <t>Выравнивание поверхностей откосов толщ. до 5 мм с предварительной огрунтовкой поверхности / финишная шпаклевка</t>
  </si>
  <si>
    <t>Длина п.м:</t>
  </si>
  <si>
    <t>1.049</t>
  </si>
  <si>
    <t>Блок</t>
  </si>
  <si>
    <t>4.1</t>
  </si>
  <si>
    <t>5</t>
  </si>
  <si>
    <t>Штукатурка откосов гипсовыми смесями с предварительной огрунтовкой СКБ / толщ. от 21 до 40 мм / высотой от 4,01 до 8 метров</t>
  </si>
  <si>
    <t xml:space="preserve">Откосы </t>
  </si>
  <si>
    <t>откосы / шпаклевка базовая</t>
  </si>
  <si>
    <t>откосы / шпаклевка финишная</t>
  </si>
  <si>
    <t>Подготовка поверхности СКБ / октосов / по штукатурке / 2мм</t>
  </si>
  <si>
    <t>Площадь, м2 
(h = ср 3.7</t>
  </si>
  <si>
    <t>Итог, м2:</t>
  </si>
  <si>
    <t>Площадь 
(h = ср 7.7)</t>
  </si>
  <si>
    <t>3 этаж 5 блок</t>
  </si>
  <si>
    <t>2 этаж 5 блок</t>
  </si>
  <si>
    <t>1 этаж 4.1 блок</t>
  </si>
  <si>
    <t>2 этаж 4.1 блок</t>
  </si>
  <si>
    <t>3 этаж 4.1 блок</t>
  </si>
  <si>
    <t>Заделка штроб
1 этаж 4.1 блок</t>
  </si>
  <si>
    <t>Заделка штроб
2 этаж 5 блок</t>
  </si>
  <si>
    <t>Заделка штроб
3 этаж 5 блок</t>
  </si>
  <si>
    <t>Шпаклевка штроб
3 этаж 5 блок</t>
  </si>
  <si>
    <t>Заделка штроб
2 этаж 4.1 блок</t>
  </si>
  <si>
    <t>Заделка штроб
3 этаж 4.1 блок</t>
  </si>
  <si>
    <t>Шпаклевка штроб
3 этаж 4.1 блок</t>
  </si>
  <si>
    <t>Шпаклевка штроб
2 этаж 4.1 блок</t>
  </si>
  <si>
    <t>Шпаклевка штроб
1 этаж 4.1 блок</t>
  </si>
  <si>
    <t>Шпаклевка штроб
2 этаж 5 блок</t>
  </si>
  <si>
    <t>3.079</t>
  </si>
  <si>
    <t>Устройство акустических панелей в ММП пом. 2.079, 2.068, 3.079</t>
  </si>
  <si>
    <t xml:space="preserve"> ММП пом. 2.079, 2.068, 3.079</t>
  </si>
  <si>
    <t xml:space="preserve"> СТ-6 / КМ1 / RAL 9003 / Белый / АРОР АЙСИБИ/МФ-СТРОЙ. 2 этаж, блок 5</t>
  </si>
  <si>
    <t>СТ-6 / КМ1 / RAL 9003 / Белый / 
1, 2, 3 этаж, блок 1, 4.1</t>
  </si>
  <si>
    <t xml:space="preserve"> СТ-7 / КМ0 / RAL 9003 / Белый / АРОР АЙСИБИ/МФ-СТРОЙ. 2 этаж, блок 5</t>
  </si>
  <si>
    <t>СТ-7 / КМ0 / RAL 9003 / Белый / 
1, 2, 3 этаж, блок 1, 4.1</t>
  </si>
  <si>
    <t>Площадь, м2 
СТ-6 / КМ1</t>
  </si>
  <si>
    <t>Площадь, м2 
СТ-7 / КМ0</t>
  </si>
  <si>
    <t>3.096</t>
  </si>
  <si>
    <t>3.097</t>
  </si>
  <si>
    <t>6.3</t>
  </si>
  <si>
    <t>6.2</t>
  </si>
  <si>
    <t>6.9</t>
  </si>
  <si>
    <t>6.4</t>
  </si>
  <si>
    <t>6.8</t>
  </si>
  <si>
    <t>6.6</t>
  </si>
  <si>
    <t>1.040</t>
  </si>
  <si>
    <t>1.043</t>
  </si>
  <si>
    <t>1.046</t>
  </si>
  <si>
    <t>2.082</t>
  </si>
  <si>
    <t>Пом.</t>
  </si>
  <si>
    <t>Площадь</t>
  </si>
  <si>
    <t>СТ-6.2
RAL</t>
  </si>
  <si>
    <t>СТ-6.3
RAL</t>
  </si>
  <si>
    <t>СТ-6.4
RAL</t>
  </si>
  <si>
    <t>СТ-6.6
RAL</t>
  </si>
  <si>
    <t>СТ-6.8
RAL</t>
  </si>
  <si>
    <t>СТ-6.9
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</si>
</sst>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00"/>
    <numFmt numFmtId="165" formatCode="_-* #,##0.0\ _₽_-;\-* #,##0.0\ _₽_-;_-* &quot;-&quot;??\ _₽_-;_-@_-"/>
    <numFmt numFmtId="166" formatCode="0.0"/>
  </numFmts>
  <fonts count="17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2"/>
      <color theme="1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sz val="12"/>
      <name val="ГОСТ тип А"/>
      <family val="2"/>
      <charset val="204"/>
    </font>
    <font>
      <b/>
      <sz val="12"/>
      <color theme="1"/>
      <name val="ГОСТ тип А"/>
      <family val="2"/>
      <charset val="204"/>
    </font>
    <font>
      <sz val="11"/>
      <color rgb="FF000000"/>
      <name val="Calibri"/>
      <family val="2"/>
      <charset val="204"/>
    </font>
    <font>
      <b/>
      <sz val="12"/>
      <color rgb="FF000000"/>
      <name val="ГОСТ тип А"/>
      <family val="2"/>
      <charset val="204"/>
    </font>
    <font>
      <b/>
      <sz val="11"/>
      <color theme="1"/>
      <name val="ГОСТ тип А"/>
      <family val="2"/>
      <charset val="204"/>
    </font>
    <font>
      <b/>
      <sz val="12"/>
      <color theme="4" tint="-0.249977111117893"/>
      <name val="ГОСТ тип А"/>
      <family val="2"/>
      <charset val="204"/>
    </font>
    <font>
      <sz val="11"/>
      <color theme="4" tint="-0.249977111117893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ED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43" fontId="10" fillId="0" borderId="0" applyFont="0" applyFill="0" applyBorder="0" applyAlignment="0" applyProtection="0"/>
  </cellStyleXfs>
  <cellXfs count="34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2" fontId="2" fillId="0" borderId="0" xfId="0" applyNumberFormat="1" applyFont="1"/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2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2" borderId="0" xfId="0" applyFont="1" applyFill="1" applyBorder="1"/>
    <xf numFmtId="0" fontId="2" fillId="5" borderId="0" xfId="0" applyFont="1" applyFill="1"/>
    <xf numFmtId="0" fontId="2" fillId="6" borderId="0" xfId="0" applyFont="1" applyFill="1" applyAlignment="1">
      <alignment wrapText="1"/>
    </xf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2" fontId="2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wrapText="1"/>
    </xf>
    <xf numFmtId="49" fontId="2" fillId="0" borderId="6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2" fontId="2" fillId="0" borderId="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vertical="center"/>
    </xf>
    <xf numFmtId="0" fontId="7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2" fontId="5" fillId="10" borderId="1" xfId="0" applyNumberFormat="1" applyFont="1" applyFill="1" applyBorder="1" applyAlignment="1">
      <alignment horizontal="right" vertical="center"/>
    </xf>
    <xf numFmtId="2" fontId="5" fillId="0" borderId="0" xfId="0" applyNumberFormat="1" applyFont="1"/>
    <xf numFmtId="0" fontId="5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right" vertical="center"/>
    </xf>
    <xf numFmtId="0" fontId="8" fillId="0" borderId="1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5" fillId="2" borderId="1" xfId="0" applyFont="1" applyFill="1" applyBorder="1"/>
    <xf numFmtId="2" fontId="5" fillId="2" borderId="1" xfId="0" applyNumberFormat="1" applyFont="1" applyFill="1" applyBorder="1"/>
    <xf numFmtId="0" fontId="5" fillId="11" borderId="0" xfId="0" applyFont="1" applyFill="1"/>
    <xf numFmtId="0" fontId="5" fillId="11" borderId="1" xfId="0" applyFont="1" applyFill="1" applyBorder="1"/>
    <xf numFmtId="2" fontId="5" fillId="11" borderId="1" xfId="0" applyNumberFormat="1" applyFont="1" applyFill="1" applyBorder="1"/>
    <xf numFmtId="0" fontId="5" fillId="0" borderId="1" xfId="0" applyFont="1" applyFill="1" applyBorder="1"/>
    <xf numFmtId="2" fontId="5" fillId="0" borderId="1" xfId="0" applyNumberFormat="1" applyFont="1" applyFill="1" applyBorder="1"/>
    <xf numFmtId="0" fontId="5" fillId="0" borderId="0" xfId="0" applyFont="1" applyFill="1"/>
    <xf numFmtId="2" fontId="5" fillId="0" borderId="0" xfId="0" applyNumberFormat="1" applyFont="1" applyFill="1"/>
    <xf numFmtId="164" fontId="8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right" vertical="center"/>
    </xf>
    <xf numFmtId="0" fontId="0" fillId="0" borderId="0" xfId="0" applyNumberFormat="1"/>
    <xf numFmtId="164" fontId="8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right" vertical="center"/>
    </xf>
    <xf numFmtId="49" fontId="3" fillId="0" borderId="1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2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8" fillId="5" borderId="1" xfId="0" applyNumberFormat="1" applyFont="1" applyFill="1" applyBorder="1" applyAlignment="1">
      <alignment horizontal="center" vertical="center"/>
    </xf>
    <xf numFmtId="0" fontId="4" fillId="0" borderId="0" xfId="1"/>
    <xf numFmtId="49" fontId="9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2" fontId="9" fillId="0" borderId="1" xfId="2" applyNumberFormat="1" applyFont="1" applyBorder="1" applyAlignment="1">
      <alignment vertical="center"/>
    </xf>
    <xf numFmtId="0" fontId="13" fillId="0" borderId="17" xfId="1" applyFont="1" applyBorder="1" applyAlignment="1">
      <alignment horizontal="center" vertical="center" wrapText="1"/>
    </xf>
    <xf numFmtId="0" fontId="14" fillId="12" borderId="1" xfId="1" applyFont="1" applyFill="1" applyBorder="1"/>
    <xf numFmtId="0" fontId="14" fillId="0" borderId="1" xfId="1" applyFont="1" applyBorder="1"/>
    <xf numFmtId="0" fontId="10" fillId="0" borderId="0" xfId="1" applyFont="1"/>
    <xf numFmtId="2" fontId="14" fillId="12" borderId="1" xfId="1" applyNumberFormat="1" applyFont="1" applyFill="1" applyBorder="1"/>
    <xf numFmtId="2" fontId="14" fillId="0" borderId="1" xfId="1" applyNumberFormat="1" applyFont="1" applyBorder="1"/>
    <xf numFmtId="2" fontId="4" fillId="0" borderId="0" xfId="1" applyNumberFormat="1"/>
    <xf numFmtId="2" fontId="9" fillId="0" borderId="1" xfId="1" applyNumberFormat="1" applyFont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10" fillId="0" borderId="1" xfId="1" applyFont="1" applyBorder="1"/>
    <xf numFmtId="2" fontId="4" fillId="0" borderId="1" xfId="1" applyNumberFormat="1" applyBorder="1"/>
    <xf numFmtId="49" fontId="9" fillId="0" borderId="13" xfId="1" applyNumberFormat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14" fillId="12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5" fillId="0" borderId="1" xfId="1" applyFont="1" applyBorder="1"/>
    <xf numFmtId="2" fontId="15" fillId="0" borderId="1" xfId="1" applyNumberFormat="1" applyFont="1" applyBorder="1"/>
    <xf numFmtId="0" fontId="13" fillId="0" borderId="1" xfId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66" fontId="1" fillId="0" borderId="14" xfId="0" applyNumberFormat="1" applyFont="1" applyBorder="1" applyAlignment="1">
      <alignment horizontal="center" vertical="center" wrapText="1"/>
    </xf>
    <xf numFmtId="166" fontId="1" fillId="0" borderId="15" xfId="0" applyNumberFormat="1" applyFont="1" applyBorder="1" applyAlignment="1">
      <alignment horizontal="center" vertical="center" wrapText="1"/>
    </xf>
    <xf numFmtId="0" fontId="16" fillId="0" borderId="0" xfId="1" applyFont="1"/>
    <xf numFmtId="0" fontId="16" fillId="0" borderId="0" xfId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vertical="center" wrapText="1"/>
    </xf>
    <xf numFmtId="0" fontId="4" fillId="0" borderId="0" xfId="1" applyAlignment="1">
      <alignment wrapText="1"/>
    </xf>
    <xf numFmtId="2" fontId="15" fillId="0" borderId="11" xfId="1" applyNumberFormat="1" applyFont="1" applyBorder="1"/>
    <xf numFmtId="0" fontId="14" fillId="0" borderId="1" xfId="1" applyFont="1" applyFill="1" applyBorder="1" applyAlignment="1">
      <alignment horizontal="center" vertical="center"/>
    </xf>
    <xf numFmtId="2" fontId="14" fillId="0" borderId="1" xfId="1" applyNumberFormat="1" applyFont="1" applyFill="1" applyBorder="1"/>
    <xf numFmtId="164" fontId="14" fillId="0" borderId="1" xfId="1" applyNumberFormat="1" applyFont="1" applyFill="1" applyBorder="1"/>
    <xf numFmtId="1" fontId="14" fillId="0" borderId="1" xfId="1" applyNumberFormat="1" applyFont="1" applyFill="1" applyBorder="1"/>
    <xf numFmtId="0" fontId="14" fillId="0" borderId="1" xfId="1" applyFont="1" applyFill="1" applyBorder="1" applyAlignment="1">
      <alignment horizontal="center" vertical="center" wrapText="1"/>
    </xf>
    <xf numFmtId="0" fontId="14" fillId="0" borderId="1" xfId="1" applyFont="1" applyFill="1" applyBorder="1"/>
    <xf numFmtId="0" fontId="9" fillId="0" borderId="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" fontId="9" fillId="0" borderId="1" xfId="1" applyNumberFormat="1" applyFont="1" applyBorder="1" applyAlignment="1"/>
    <xf numFmtId="0" fontId="9" fillId="0" borderId="1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2" fontId="9" fillId="0" borderId="13" xfId="1" applyNumberFormat="1" applyFont="1" applyBorder="1" applyAlignment="1">
      <alignment horizontal="center" vertical="center"/>
    </xf>
    <xf numFmtId="165" fontId="12" fillId="0" borderId="13" xfId="2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2" fontId="9" fillId="0" borderId="13" xfId="1" applyNumberFormat="1" applyFont="1" applyBorder="1" applyAlignment="1">
      <alignment horizontal="center" vertical="center"/>
    </xf>
    <xf numFmtId="165" fontId="12" fillId="0" borderId="13" xfId="2" applyNumberFormat="1" applyFont="1" applyBorder="1" applyAlignment="1">
      <alignment horizontal="center" vertical="center" wrapText="1"/>
    </xf>
    <xf numFmtId="0" fontId="4" fillId="0" borderId="1" xfId="1" applyBorder="1"/>
    <xf numFmtId="0" fontId="9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4" fillId="0" borderId="0" xfId="1" applyAlignment="1">
      <alignment horizontal="center"/>
    </xf>
    <xf numFmtId="0" fontId="9" fillId="0" borderId="1" xfId="1" applyFont="1" applyBorder="1" applyAlignment="1">
      <alignment horizontal="center" vertical="center"/>
    </xf>
    <xf numFmtId="2" fontId="9" fillId="0" borderId="13" xfId="1" applyNumberFormat="1" applyFont="1" applyBorder="1" applyAlignment="1">
      <alignment horizontal="center" vertical="center"/>
    </xf>
    <xf numFmtId="165" fontId="12" fillId="0" borderId="13" xfId="2" applyNumberFormat="1" applyFont="1" applyBorder="1" applyAlignment="1">
      <alignment horizontal="center" vertical="center" wrapText="1"/>
    </xf>
    <xf numFmtId="17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49" fontId="14" fillId="12" borderId="1" xfId="1" applyNumberFormat="1" applyFont="1" applyFill="1" applyBorder="1" applyAlignment="1">
      <alignment horizontal="center"/>
    </xf>
    <xf numFmtId="49" fontId="14" fillId="0" borderId="1" xfId="1" applyNumberFormat="1" applyFont="1" applyBorder="1" applyAlignment="1">
      <alignment horizontal="center"/>
    </xf>
    <xf numFmtId="2" fontId="4" fillId="0" borderId="1" xfId="1" applyNumberFormat="1" applyBorder="1" applyAlignment="1">
      <alignment horizontal="center"/>
    </xf>
    <xf numFmtId="0" fontId="4" fillId="0" borderId="1" xfId="1" applyBorder="1" applyAlignment="1">
      <alignment horizontal="center"/>
    </xf>
    <xf numFmtId="2" fontId="4" fillId="0" borderId="1" xfId="1" applyNumberFormat="1" applyBorder="1" applyAlignment="1"/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4" fillId="0" borderId="0" xfId="1" applyAlignment="1">
      <alignment horizontal="center"/>
    </xf>
    <xf numFmtId="0" fontId="9" fillId="2" borderId="1" xfId="1" applyFont="1" applyFill="1" applyBorder="1" applyAlignment="1">
      <alignment horizontal="center" vertical="center"/>
    </xf>
    <xf numFmtId="165" fontId="12" fillId="2" borderId="13" xfId="2" applyNumberFormat="1" applyFont="1" applyFill="1" applyBorder="1" applyAlignment="1">
      <alignment horizontal="center" vertical="center" wrapText="1"/>
    </xf>
    <xf numFmtId="2" fontId="9" fillId="2" borderId="1" xfId="2" applyNumberFormat="1" applyFont="1" applyFill="1" applyBorder="1" applyAlignment="1">
      <alignment vertical="center"/>
    </xf>
    <xf numFmtId="0" fontId="9" fillId="11" borderId="1" xfId="1" applyFont="1" applyFill="1" applyBorder="1" applyAlignment="1">
      <alignment horizontal="center" vertical="center"/>
    </xf>
    <xf numFmtId="165" fontId="12" fillId="11" borderId="13" xfId="2" applyNumberFormat="1" applyFont="1" applyFill="1" applyBorder="1" applyAlignment="1">
      <alignment horizontal="center" vertical="center" wrapText="1"/>
    </xf>
    <xf numFmtId="2" fontId="9" fillId="11" borderId="1" xfId="2" applyNumberFormat="1" applyFont="1" applyFill="1" applyBorder="1" applyAlignment="1">
      <alignment vertical="center"/>
    </xf>
    <xf numFmtId="0" fontId="13" fillId="11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/>
    </xf>
    <xf numFmtId="49" fontId="14" fillId="0" borderId="1" xfId="1" applyNumberFormat="1" applyFont="1" applyFill="1" applyBorder="1" applyAlignment="1">
      <alignment horizontal="center"/>
    </xf>
    <xf numFmtId="0" fontId="4" fillId="0" borderId="1" xfId="1" applyFill="1" applyBorder="1" applyAlignment="1">
      <alignment horizontal="center"/>
    </xf>
    <xf numFmtId="2" fontId="4" fillId="0" borderId="1" xfId="1" applyNumberFormat="1" applyFill="1" applyBorder="1" applyAlignment="1">
      <alignment horizontal="center"/>
    </xf>
    <xf numFmtId="0" fontId="4" fillId="0" borderId="0" xfId="1" applyFill="1" applyAlignment="1">
      <alignment horizontal="center"/>
    </xf>
    <xf numFmtId="166" fontId="14" fillId="13" borderId="1" xfId="1" applyNumberFormat="1" applyFont="1" applyFill="1" applyBorder="1"/>
    <xf numFmtId="166" fontId="14" fillId="12" borderId="1" xfId="1" applyNumberFormat="1" applyFont="1" applyFill="1" applyBorder="1"/>
    <xf numFmtId="166" fontId="14" fillId="11" borderId="1" xfId="1" applyNumberFormat="1" applyFont="1" applyFill="1" applyBorder="1"/>
    <xf numFmtId="166" fontId="14" fillId="2" borderId="1" xfId="1" applyNumberFormat="1" applyFont="1" applyFill="1" applyBorder="1"/>
    <xf numFmtId="166" fontId="4" fillId="11" borderId="1" xfId="1" applyNumberFormat="1" applyFill="1" applyBorder="1"/>
    <xf numFmtId="166" fontId="4" fillId="2" borderId="1" xfId="1" applyNumberFormat="1" applyFill="1" applyBorder="1"/>
    <xf numFmtId="49" fontId="9" fillId="14" borderId="1" xfId="1" applyNumberFormat="1" applyFont="1" applyFill="1" applyBorder="1" applyAlignment="1">
      <alignment horizontal="center" vertical="center"/>
    </xf>
    <xf numFmtId="2" fontId="9" fillId="14" borderId="13" xfId="1" applyNumberFormat="1" applyFont="1" applyFill="1" applyBorder="1" applyAlignment="1">
      <alignment horizontal="center" vertical="center"/>
    </xf>
    <xf numFmtId="0" fontId="11" fillId="14" borderId="1" xfId="1" applyFont="1" applyFill="1" applyBorder="1" applyAlignment="1">
      <alignment horizontal="center" vertical="center" wrapText="1"/>
    </xf>
    <xf numFmtId="2" fontId="9" fillId="14" borderId="1" xfId="1" applyNumberFormat="1" applyFont="1" applyFill="1" applyBorder="1" applyAlignment="1">
      <alignment horizontal="center" vertical="center"/>
    </xf>
    <xf numFmtId="49" fontId="9" fillId="0" borderId="1" xfId="1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2" fontId="9" fillId="0" borderId="1" xfId="1" applyNumberFormat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2" fontId="9" fillId="0" borderId="1" xfId="2" applyNumberFormat="1" applyFont="1" applyFill="1" applyBorder="1" applyAlignment="1">
      <alignment vertical="center"/>
    </xf>
    <xf numFmtId="49" fontId="4" fillId="0" borderId="1" xfId="1" applyNumberFormat="1" applyFill="1" applyBorder="1"/>
    <xf numFmtId="49" fontId="4" fillId="0" borderId="1" xfId="1" applyNumberFormat="1" applyBorder="1"/>
    <xf numFmtId="0" fontId="11" fillId="0" borderId="14" xfId="1" applyFont="1" applyFill="1" applyBorder="1" applyAlignment="1">
      <alignment vertical="center" wrapText="1"/>
    </xf>
    <xf numFmtId="0" fontId="9" fillId="0" borderId="16" xfId="1" applyFont="1" applyBorder="1" applyAlignment="1">
      <alignment horizontal="center"/>
    </xf>
    <xf numFmtId="0" fontId="11" fillId="2" borderId="14" xfId="1" applyFont="1" applyFill="1" applyBorder="1" applyAlignment="1">
      <alignment vertical="center" wrapText="1"/>
    </xf>
    <xf numFmtId="0" fontId="4" fillId="0" borderId="0" xfId="1" applyAlignment="1">
      <alignment horizontal="center"/>
    </xf>
    <xf numFmtId="0" fontId="9" fillId="14" borderId="18" xfId="1" applyFont="1" applyFill="1" applyBorder="1" applyAlignment="1">
      <alignment horizontal="center" vertical="center"/>
    </xf>
    <xf numFmtId="0" fontId="9" fillId="14" borderId="19" xfId="1" applyFont="1" applyFill="1" applyBorder="1" applyAlignment="1">
      <alignment horizontal="center" vertical="center"/>
    </xf>
    <xf numFmtId="0" fontId="11" fillId="14" borderId="14" xfId="1" applyFont="1" applyFill="1" applyBorder="1" applyAlignment="1">
      <alignment horizontal="center" vertical="center"/>
    </xf>
    <xf numFmtId="0" fontId="11" fillId="11" borderId="14" xfId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3" xfId="0" applyNumberFormat="1" applyFont="1" applyBorder="1" applyAlignment="1">
      <alignment horizontal="center" vertical="center" wrapText="1"/>
    </xf>
    <xf numFmtId="166" fontId="2" fillId="0" borderId="15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21" xfId="1" applyBorder="1" applyAlignment="1">
      <alignment horizontal="center"/>
    </xf>
    <xf numFmtId="0" fontId="9" fillId="0" borderId="1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5" xfId="1" applyFont="1" applyFill="1" applyBorder="1" applyAlignment="1">
      <alignment vertical="center" wrapText="1"/>
    </xf>
    <xf numFmtId="0" fontId="13" fillId="0" borderId="1" xfId="1" applyFont="1" applyBorder="1" applyAlignment="1">
      <alignment horizontal="center" vertical="center" wrapText="1"/>
    </xf>
    <xf numFmtId="2" fontId="14" fillId="12" borderId="1" xfId="1" applyNumberFormat="1" applyFont="1" applyFill="1" applyBorder="1"/>
    <xf numFmtId="2" fontId="14" fillId="0" borderId="1" xfId="1" applyNumberFormat="1" applyFont="1" applyBorder="1"/>
    <xf numFmtId="2" fontId="4" fillId="0" borderId="1" xfId="1" applyNumberFormat="1" applyBorder="1"/>
    <xf numFmtId="0" fontId="9" fillId="0" borderId="1" xfId="1" applyFont="1" applyBorder="1" applyAlignment="1">
      <alignment horizontal="center" vertical="center"/>
    </xf>
    <xf numFmtId="0" fontId="4" fillId="0" borderId="16" xfId="1" applyBorder="1" applyAlignment="1">
      <alignment horizontal="center"/>
    </xf>
    <xf numFmtId="0" fontId="4" fillId="0" borderId="0" xfId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3" xfId="1" applyFont="1" applyFill="1" applyBorder="1" applyAlignment="1">
      <alignment vertical="center" wrapText="1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2" fontId="9" fillId="0" borderId="13" xfId="1" applyNumberFormat="1" applyFont="1" applyBorder="1" applyAlignment="1">
      <alignment horizontal="center" vertical="center"/>
    </xf>
    <xf numFmtId="2" fontId="9" fillId="0" borderId="15" xfId="1" applyNumberFormat="1" applyFont="1" applyBorder="1" applyAlignment="1">
      <alignment horizontal="center" vertical="center"/>
    </xf>
    <xf numFmtId="165" fontId="9" fillId="0" borderId="13" xfId="2" applyNumberFormat="1" applyFont="1" applyBorder="1" applyAlignment="1">
      <alignment horizontal="center" vertical="center" wrapText="1"/>
    </xf>
    <xf numFmtId="165" fontId="9" fillId="0" borderId="15" xfId="2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9" fillId="0" borderId="1" xfId="0" applyFont="1" applyBorder="1" applyAlignment="1">
      <alignment horizontal="right" vertical="center"/>
    </xf>
    <xf numFmtId="0" fontId="0" fillId="0" borderId="16" xfId="0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9" fillId="0" borderId="14" xfId="1" applyFont="1" applyBorder="1" applyAlignment="1">
      <alignment horizontal="right"/>
    </xf>
    <xf numFmtId="0" fontId="9" fillId="0" borderId="15" xfId="1" applyFont="1" applyBorder="1" applyAlignment="1">
      <alignment horizontal="right"/>
    </xf>
    <xf numFmtId="0" fontId="16" fillId="0" borderId="0" xfId="1" applyFont="1" applyAlignment="1">
      <alignment horizontal="center"/>
    </xf>
    <xf numFmtId="0" fontId="9" fillId="0" borderId="21" xfId="1" applyFont="1" applyBorder="1" applyAlignment="1">
      <alignment horizontal="center" wrapText="1"/>
    </xf>
    <xf numFmtId="0" fontId="9" fillId="0" borderId="0" xfId="1" applyFont="1" applyBorder="1" applyAlignment="1">
      <alignment horizontal="center" wrapText="1"/>
    </xf>
    <xf numFmtId="0" fontId="4" fillId="0" borderId="22" xfId="1" applyBorder="1" applyAlignment="1">
      <alignment horizontal="center"/>
    </xf>
    <xf numFmtId="0" fontId="9" fillId="0" borderId="13" xfId="1" applyFont="1" applyBorder="1" applyAlignment="1">
      <alignment horizontal="center" wrapText="1"/>
    </xf>
    <xf numFmtId="0" fontId="9" fillId="0" borderId="15" xfId="1" applyFont="1" applyBorder="1" applyAlignment="1">
      <alignment horizontal="center" wrapText="1"/>
    </xf>
    <xf numFmtId="0" fontId="9" fillId="0" borderId="1" xfId="1" applyFont="1" applyBorder="1" applyAlignment="1">
      <alignment horizont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0" xfId="1" applyFont="1" applyAlignment="1">
      <alignment horizontal="center"/>
    </xf>
    <xf numFmtId="165" fontId="12" fillId="0" borderId="13" xfId="2" applyNumberFormat="1" applyFont="1" applyBorder="1" applyAlignment="1">
      <alignment horizontal="center" vertical="center" wrapText="1"/>
    </xf>
    <xf numFmtId="165" fontId="12" fillId="0" borderId="15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2" fontId="9" fillId="0" borderId="1" xfId="1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vertical="center" wrapText="1"/>
    </xf>
    <xf numFmtId="165" fontId="12" fillId="4" borderId="1" xfId="2" applyNumberFormat="1" applyFont="1" applyFill="1" applyBorder="1" applyAlignment="1">
      <alignment horizontal="center" vertical="center" wrapText="1"/>
    </xf>
    <xf numFmtId="165" fontId="12" fillId="15" borderId="1" xfId="2" applyNumberFormat="1" applyFont="1" applyFill="1" applyBorder="1" applyAlignment="1">
      <alignment horizontal="center" vertical="center" wrapText="1"/>
    </xf>
    <xf numFmtId="165" fontId="12" fillId="11" borderId="1" xfId="2" applyNumberFormat="1" applyFont="1" applyFill="1" applyBorder="1" applyAlignment="1">
      <alignment horizontal="center" vertical="center" wrapText="1"/>
    </xf>
    <xf numFmtId="165" fontId="12" fillId="2" borderId="1" xfId="2" applyNumberFormat="1" applyFont="1" applyFill="1" applyBorder="1" applyAlignment="1">
      <alignment horizontal="center" vertical="center" wrapText="1"/>
    </xf>
    <xf numFmtId="165" fontId="12" fillId="16" borderId="1" xfId="2" applyNumberFormat="1" applyFont="1" applyFill="1" applyBorder="1" applyAlignment="1">
      <alignment horizontal="center" vertical="center" wrapText="1"/>
    </xf>
    <xf numFmtId="0" fontId="4" fillId="2" borderId="1" xfId="1" applyFill="1" applyBorder="1"/>
    <xf numFmtId="49" fontId="4" fillId="2" borderId="1" xfId="1" applyNumberFormat="1" applyFill="1" applyBorder="1"/>
    <xf numFmtId="0" fontId="4" fillId="4" borderId="1" xfId="1" applyFill="1" applyBorder="1"/>
    <xf numFmtId="49" fontId="4" fillId="4" borderId="1" xfId="1" applyNumberFormat="1" applyFill="1" applyBorder="1"/>
    <xf numFmtId="0" fontId="4" fillId="16" borderId="1" xfId="1" applyFill="1" applyBorder="1"/>
    <xf numFmtId="49" fontId="4" fillId="16" borderId="1" xfId="1" applyNumberFormat="1" applyFill="1" applyBorder="1"/>
    <xf numFmtId="0" fontId="4" fillId="0" borderId="1" xfId="1" applyFill="1" applyBorder="1"/>
    <xf numFmtId="165" fontId="12" fillId="17" borderId="1" xfId="2" applyNumberFormat="1" applyFont="1" applyFill="1" applyBorder="1" applyAlignment="1">
      <alignment horizontal="center" vertical="center" wrapText="1"/>
    </xf>
    <xf numFmtId="0" fontId="4" fillId="0" borderId="16" xfId="1" applyFill="1" applyBorder="1" applyAlignment="1">
      <alignment horizontal="center"/>
    </xf>
    <xf numFmtId="0" fontId="4" fillId="0" borderId="23" xfId="1" applyBorder="1" applyAlignment="1">
      <alignment horizontal="center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2" defaultPivotStyle="PivotStyleLight16"/>
  <colors>
    <mruColors>
      <color rgb="FFEFFE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6"/>
  <sheetViews>
    <sheetView zoomScale="130" zoomScaleNormal="130" workbookViewId="0">
      <selection activeCell="F22" sqref="C22:F22"/>
    </sheetView>
  </sheetViews>
  <sheetFormatPr defaultColWidth="9.109375" defaultRowHeight="13.2" x14ac:dyDescent="0.25"/>
  <cols>
    <col min="1" max="1" width="7.5546875" style="10" customWidth="1"/>
    <col min="2" max="2" width="50.33203125" style="7" customWidth="1"/>
    <col min="3" max="3" width="9.109375" style="10" customWidth="1"/>
    <col min="4" max="4" width="14.5546875" style="23" customWidth="1"/>
    <col min="5" max="5" width="8.88671875" style="26" customWidth="1"/>
    <col min="6" max="16384" width="9.109375" style="1"/>
  </cols>
  <sheetData>
    <row r="1" spans="1:5" x14ac:dyDescent="0.25">
      <c r="A1" s="16"/>
      <c r="B1" s="17" t="s">
        <v>70</v>
      </c>
      <c r="C1" s="11"/>
      <c r="D1" s="22"/>
      <c r="E1" s="24"/>
    </row>
    <row r="2" spans="1:5" x14ac:dyDescent="0.25">
      <c r="A2" s="16" t="s">
        <v>0</v>
      </c>
      <c r="B2" s="20" t="s">
        <v>1</v>
      </c>
      <c r="C2" s="11" t="s">
        <v>15</v>
      </c>
      <c r="D2" s="22" t="s">
        <v>16</v>
      </c>
      <c r="E2" s="24" t="s">
        <v>8</v>
      </c>
    </row>
    <row r="3" spans="1:5" ht="38.25" customHeight="1" x14ac:dyDescent="0.25">
      <c r="A3" s="18" t="s">
        <v>11</v>
      </c>
      <c r="B3" s="5" t="s">
        <v>71</v>
      </c>
      <c r="C3" s="3" t="s">
        <v>9</v>
      </c>
      <c r="D3" s="9">
        <v>1</v>
      </c>
      <c r="E3" s="25">
        <f>(E6+E11+E16+E21)/100 * 71</f>
        <v>2378.7413999999999</v>
      </c>
    </row>
    <row r="4" spans="1:5" x14ac:dyDescent="0.25">
      <c r="A4" s="18" t="s">
        <v>7</v>
      </c>
      <c r="B4" s="4" t="s">
        <v>89</v>
      </c>
      <c r="C4" s="3" t="s">
        <v>10</v>
      </c>
      <c r="D4" s="9">
        <v>0.3</v>
      </c>
      <c r="E4" s="25">
        <f>D4*E3</f>
        <v>713.62241999999992</v>
      </c>
    </row>
    <row r="5" spans="1:5" x14ac:dyDescent="0.25">
      <c r="A5" s="18" t="s">
        <v>72</v>
      </c>
      <c r="B5" s="4" t="s">
        <v>73</v>
      </c>
      <c r="C5" s="3" t="s">
        <v>9</v>
      </c>
      <c r="D5" s="9">
        <v>1.1000000000000001</v>
      </c>
      <c r="E5" s="25">
        <f>D5*E3</f>
        <v>2616.6155400000002</v>
      </c>
    </row>
    <row r="6" spans="1:5" ht="39.6" x14ac:dyDescent="0.25">
      <c r="A6" s="18" t="s">
        <v>12</v>
      </c>
      <c r="B6" s="5" t="s">
        <v>81</v>
      </c>
      <c r="C6" s="3" t="s">
        <v>82</v>
      </c>
      <c r="D6" s="9">
        <v>1</v>
      </c>
      <c r="E6" s="25">
        <f>'Спец 2 э. шт.'!C45</f>
        <v>907.35119999999995</v>
      </c>
    </row>
    <row r="7" spans="1:5" x14ac:dyDescent="0.25">
      <c r="A7" s="18" t="s">
        <v>13</v>
      </c>
      <c r="B7" s="4" t="s">
        <v>6</v>
      </c>
      <c r="C7" s="3" t="s">
        <v>10</v>
      </c>
      <c r="D7" s="9">
        <v>1.3</v>
      </c>
      <c r="E7" s="25">
        <f>$E$6*D7*23.077</f>
        <v>27220.62673512</v>
      </c>
    </row>
    <row r="8" spans="1:5" x14ac:dyDescent="0.25">
      <c r="A8" s="18" t="s">
        <v>14</v>
      </c>
      <c r="B8" s="21" t="s">
        <v>113</v>
      </c>
      <c r="C8" s="3" t="s">
        <v>82</v>
      </c>
      <c r="D8" s="9">
        <v>1.1000000000000001</v>
      </c>
      <c r="E8" s="25">
        <f t="shared" ref="E8:E10" si="0">$E$6*D8</f>
        <v>998.08632</v>
      </c>
    </row>
    <row r="9" spans="1:5" x14ac:dyDescent="0.25">
      <c r="A9" s="18" t="s">
        <v>74</v>
      </c>
      <c r="B9" s="4" t="s">
        <v>80</v>
      </c>
      <c r="C9" s="3" t="s">
        <v>9</v>
      </c>
      <c r="D9" s="9">
        <v>1</v>
      </c>
      <c r="E9" s="25">
        <f t="shared" si="0"/>
        <v>907.35119999999995</v>
      </c>
    </row>
    <row r="10" spans="1:5" x14ac:dyDescent="0.25">
      <c r="A10" s="18" t="s">
        <v>86</v>
      </c>
      <c r="B10" s="4" t="s">
        <v>18</v>
      </c>
      <c r="C10" s="3" t="s">
        <v>10</v>
      </c>
      <c r="D10" s="9">
        <v>0.25</v>
      </c>
      <c r="E10" s="25">
        <f t="shared" si="0"/>
        <v>226.83779999999999</v>
      </c>
    </row>
    <row r="11" spans="1:5" ht="39.6" x14ac:dyDescent="0.25">
      <c r="A11" s="18" t="s">
        <v>75</v>
      </c>
      <c r="B11" s="4" t="s">
        <v>83</v>
      </c>
      <c r="C11" s="3" t="s">
        <v>82</v>
      </c>
      <c r="D11" s="9">
        <v>1</v>
      </c>
      <c r="E11" s="25">
        <f>'Спец 2 э. шт.'!E45</f>
        <v>62.379999999999995</v>
      </c>
    </row>
    <row r="12" spans="1:5" x14ac:dyDescent="0.25">
      <c r="A12" s="18" t="s">
        <v>76</v>
      </c>
      <c r="B12" s="4" t="s">
        <v>18</v>
      </c>
      <c r="C12" s="3" t="s">
        <v>10</v>
      </c>
      <c r="D12" s="9">
        <v>0.25</v>
      </c>
      <c r="E12" s="25">
        <f>E11*D12</f>
        <v>15.594999999999999</v>
      </c>
    </row>
    <row r="13" spans="1:5" x14ac:dyDescent="0.25">
      <c r="A13" s="18" t="s">
        <v>77</v>
      </c>
      <c r="B13" s="4" t="s">
        <v>80</v>
      </c>
      <c r="C13" s="3" t="s">
        <v>9</v>
      </c>
      <c r="D13" s="9">
        <v>1</v>
      </c>
      <c r="E13" s="25">
        <f>E11*D13</f>
        <v>62.379999999999995</v>
      </c>
    </row>
    <row r="14" spans="1:5" x14ac:dyDescent="0.25">
      <c r="A14" s="18" t="s">
        <v>78</v>
      </c>
      <c r="B14" s="21" t="s">
        <v>113</v>
      </c>
      <c r="C14" s="3" t="s">
        <v>82</v>
      </c>
      <c r="D14" s="9">
        <v>1.1000000000000001</v>
      </c>
      <c r="E14" s="25">
        <f>E11*D14</f>
        <v>68.617999999999995</v>
      </c>
    </row>
    <row r="15" spans="1:5" x14ac:dyDescent="0.25">
      <c r="A15" s="18" t="s">
        <v>79</v>
      </c>
      <c r="B15" s="4" t="s">
        <v>6</v>
      </c>
      <c r="C15" s="3" t="s">
        <v>10</v>
      </c>
      <c r="D15" s="9">
        <v>1.3</v>
      </c>
      <c r="E15" s="25">
        <f>E11*D15*23.077</f>
        <v>1871.406238</v>
      </c>
    </row>
    <row r="16" spans="1:5" ht="39.6" x14ac:dyDescent="0.25">
      <c r="A16" s="18" t="s">
        <v>87</v>
      </c>
      <c r="B16" s="4" t="s">
        <v>84</v>
      </c>
      <c r="C16" s="3" t="s">
        <v>82</v>
      </c>
      <c r="D16" s="9">
        <v>1</v>
      </c>
      <c r="E16" s="25">
        <f>'Спец 2 э. шт.'!F45</f>
        <v>619.28000000000009</v>
      </c>
    </row>
    <row r="17" spans="1:5" x14ac:dyDescent="0.25">
      <c r="A17" s="2">
        <v>4.0999999999999996</v>
      </c>
      <c r="B17" s="21" t="s">
        <v>6</v>
      </c>
      <c r="C17" s="2" t="s">
        <v>10</v>
      </c>
      <c r="D17" s="9">
        <v>1.3</v>
      </c>
      <c r="E17" s="25">
        <f>E16*D17*23.077</f>
        <v>18578.461928000004</v>
      </c>
    </row>
    <row r="18" spans="1:5" x14ac:dyDescent="0.25">
      <c r="A18" s="2">
        <v>4.2</v>
      </c>
      <c r="B18" s="21" t="s">
        <v>113</v>
      </c>
      <c r="C18" s="2" t="s">
        <v>82</v>
      </c>
      <c r="D18" s="9">
        <v>1.1000000000000001</v>
      </c>
      <c r="E18" s="25">
        <f>E16*D18</f>
        <v>681.2080000000002</v>
      </c>
    </row>
    <row r="19" spans="1:5" x14ac:dyDescent="0.25">
      <c r="A19" s="2">
        <v>4.3</v>
      </c>
      <c r="B19" s="21" t="s">
        <v>80</v>
      </c>
      <c r="C19" s="2" t="s">
        <v>9</v>
      </c>
      <c r="D19" s="9">
        <v>1</v>
      </c>
      <c r="E19" s="25">
        <f>E16*D19</f>
        <v>619.28000000000009</v>
      </c>
    </row>
    <row r="20" spans="1:5" x14ac:dyDescent="0.25">
      <c r="A20" s="2">
        <v>4.4000000000000004</v>
      </c>
      <c r="B20" s="21" t="s">
        <v>18</v>
      </c>
      <c r="C20" s="2" t="s">
        <v>10</v>
      </c>
      <c r="D20" s="9">
        <v>0.25</v>
      </c>
      <c r="E20" s="25">
        <f>E16*D20</f>
        <v>154.82000000000002</v>
      </c>
    </row>
    <row r="21" spans="1:5" ht="39.6" x14ac:dyDescent="0.25">
      <c r="A21" s="2">
        <v>5</v>
      </c>
      <c r="B21" s="19" t="s">
        <v>85</v>
      </c>
      <c r="C21" s="2" t="s">
        <v>82</v>
      </c>
      <c r="D21" s="9">
        <v>1</v>
      </c>
      <c r="E21" s="25">
        <f>'Спец 2 э. шт.'!D45</f>
        <v>1761.3287999999998</v>
      </c>
    </row>
    <row r="22" spans="1:5" x14ac:dyDescent="0.25">
      <c r="A22" s="2">
        <v>5.0999999999999996</v>
      </c>
      <c r="B22" s="21" t="s">
        <v>17</v>
      </c>
      <c r="C22" s="2" t="s">
        <v>10</v>
      </c>
      <c r="D22" s="9">
        <v>0.15</v>
      </c>
      <c r="E22" s="25">
        <f>E21*D22</f>
        <v>264.19931999999994</v>
      </c>
    </row>
    <row r="23" spans="1:5" x14ac:dyDescent="0.25">
      <c r="A23" s="2">
        <v>5.2</v>
      </c>
      <c r="B23" s="21" t="s">
        <v>80</v>
      </c>
      <c r="C23" s="2" t="s">
        <v>9</v>
      </c>
      <c r="D23" s="9">
        <v>1</v>
      </c>
      <c r="E23" s="25">
        <f>E21*D23</f>
        <v>1761.3287999999998</v>
      </c>
    </row>
    <row r="24" spans="1:5" x14ac:dyDescent="0.25">
      <c r="A24" s="2">
        <v>5.3</v>
      </c>
      <c r="B24" s="21" t="s">
        <v>113</v>
      </c>
      <c r="C24" s="2" t="s">
        <v>82</v>
      </c>
      <c r="D24" s="9">
        <v>1.1000000000000001</v>
      </c>
      <c r="E24" s="25">
        <f>E21*D24</f>
        <v>1937.4616799999999</v>
      </c>
    </row>
    <row r="25" spans="1:5" x14ac:dyDescent="0.25">
      <c r="A25" s="2">
        <v>5.4</v>
      </c>
      <c r="B25" s="21" t="s">
        <v>6</v>
      </c>
      <c r="C25" s="2" t="s">
        <v>10</v>
      </c>
      <c r="D25" s="9">
        <v>1.3</v>
      </c>
      <c r="E25" s="25">
        <f>E21*D25*23.077</f>
        <v>52840.040132879993</v>
      </c>
    </row>
    <row r="26" spans="1:5" x14ac:dyDescent="0.25">
      <c r="A26" s="2">
        <v>6</v>
      </c>
      <c r="B26" s="19" t="s">
        <v>88</v>
      </c>
      <c r="C26" s="2" t="s">
        <v>9</v>
      </c>
      <c r="D26" s="9">
        <v>1</v>
      </c>
      <c r="E26" s="25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7" zoomScaleNormal="100" workbookViewId="0">
      <selection activeCell="I13" sqref="I13"/>
    </sheetView>
  </sheetViews>
  <sheetFormatPr defaultRowHeight="14.4" x14ac:dyDescent="0.3"/>
  <cols>
    <col min="1" max="1" width="8.88671875" style="140"/>
    <col min="2" max="2" width="4.21875" style="140" bestFit="1" customWidth="1"/>
    <col min="3" max="3" width="8.88671875" style="140"/>
    <col min="4" max="4" width="5.21875" style="140" customWidth="1"/>
    <col min="5" max="5" width="8.88671875" style="140"/>
    <col min="6" max="6" width="4.21875" style="140" bestFit="1" customWidth="1"/>
    <col min="7" max="7" width="8.88671875" style="140" customWidth="1"/>
    <col min="8" max="8" width="5.21875" style="140" customWidth="1"/>
    <col min="9" max="9" width="7.5546875" style="140" customWidth="1"/>
    <col min="10" max="10" width="9" style="140" bestFit="1" customWidth="1"/>
    <col min="11" max="11" width="9.33203125" style="140" bestFit="1" customWidth="1"/>
    <col min="12" max="16384" width="8.88671875" style="140"/>
  </cols>
  <sheetData>
    <row r="2" spans="1:11" s="153" customFormat="1" ht="15.6" x14ac:dyDescent="0.3">
      <c r="A2" s="251" t="s">
        <v>0</v>
      </c>
      <c r="B2" s="330" t="s">
        <v>1</v>
      </c>
      <c r="C2" s="330"/>
      <c r="D2" s="330"/>
      <c r="E2" s="330"/>
      <c r="F2" s="330"/>
      <c r="G2" s="330"/>
      <c r="H2" s="331" t="s">
        <v>175</v>
      </c>
      <c r="I2" s="331"/>
      <c r="J2" s="252" t="s">
        <v>15</v>
      </c>
      <c r="K2" s="253" t="s">
        <v>8</v>
      </c>
    </row>
    <row r="3" spans="1:11" ht="31.2" customHeight="1" x14ac:dyDescent="0.3">
      <c r="A3" s="254">
        <v>1</v>
      </c>
      <c r="B3" s="332" t="s">
        <v>249</v>
      </c>
      <c r="C3" s="332"/>
      <c r="D3" s="332"/>
      <c r="E3" s="332"/>
      <c r="F3" s="332"/>
      <c r="G3" s="332"/>
      <c r="H3" s="334" t="s">
        <v>382</v>
      </c>
      <c r="I3" s="334"/>
      <c r="J3" s="254" t="s">
        <v>82</v>
      </c>
      <c r="K3" s="255">
        <f>SUM(C11:C17,G11:G20,K11:K21)</f>
        <v>708.52999999999975</v>
      </c>
    </row>
    <row r="4" spans="1:11" ht="31.2" customHeight="1" x14ac:dyDescent="0.3">
      <c r="A4" s="254">
        <v>2</v>
      </c>
      <c r="B4" s="332" t="s">
        <v>249</v>
      </c>
      <c r="C4" s="332"/>
      <c r="D4" s="332"/>
      <c r="E4" s="332"/>
      <c r="F4" s="332"/>
      <c r="G4" s="332"/>
      <c r="H4" s="336" t="s">
        <v>383</v>
      </c>
      <c r="I4" s="336"/>
      <c r="J4" s="254" t="s">
        <v>82</v>
      </c>
      <c r="K4" s="255">
        <f>C18+G21+K22</f>
        <v>143.30000000000001</v>
      </c>
    </row>
    <row r="5" spans="1:11" ht="31.2" customHeight="1" x14ac:dyDescent="0.3">
      <c r="A5" s="254">
        <v>3</v>
      </c>
      <c r="B5" s="332" t="s">
        <v>249</v>
      </c>
      <c r="C5" s="332"/>
      <c r="D5" s="332"/>
      <c r="E5" s="332"/>
      <c r="F5" s="332"/>
      <c r="G5" s="332"/>
      <c r="H5" s="337" t="s">
        <v>384</v>
      </c>
      <c r="I5" s="337"/>
      <c r="J5" s="254" t="s">
        <v>82</v>
      </c>
      <c r="K5" s="255">
        <f>C19+C20</f>
        <v>59.8</v>
      </c>
    </row>
    <row r="6" spans="1:11" ht="31.2" customHeight="1" x14ac:dyDescent="0.3">
      <c r="A6" s="254">
        <v>4</v>
      </c>
      <c r="B6" s="332" t="s">
        <v>249</v>
      </c>
      <c r="C6" s="332"/>
      <c r="D6" s="332"/>
      <c r="E6" s="332"/>
      <c r="F6" s="332"/>
      <c r="G6" s="332"/>
      <c r="H6" s="345" t="s">
        <v>385</v>
      </c>
      <c r="I6" s="345"/>
      <c r="J6" s="254" t="s">
        <v>82</v>
      </c>
      <c r="K6" s="255">
        <f>G22+K23</f>
        <v>19.8</v>
      </c>
    </row>
    <row r="7" spans="1:11" ht="31.2" customHeight="1" x14ac:dyDescent="0.3">
      <c r="A7" s="254">
        <v>5</v>
      </c>
      <c r="B7" s="332" t="s">
        <v>249</v>
      </c>
      <c r="C7" s="332"/>
      <c r="D7" s="332"/>
      <c r="E7" s="332"/>
      <c r="F7" s="332"/>
      <c r="G7" s="332"/>
      <c r="H7" s="333" t="s">
        <v>386</v>
      </c>
      <c r="I7" s="333"/>
      <c r="J7" s="254" t="s">
        <v>82</v>
      </c>
      <c r="K7" s="255">
        <f>C21+G23+K24+K25</f>
        <v>104.60000000000001</v>
      </c>
    </row>
    <row r="8" spans="1:11" ht="31.2" customHeight="1" x14ac:dyDescent="0.3">
      <c r="A8" s="254">
        <v>6</v>
      </c>
      <c r="B8" s="332" t="s">
        <v>249</v>
      </c>
      <c r="C8" s="332"/>
      <c r="D8" s="332"/>
      <c r="E8" s="332"/>
      <c r="F8" s="332"/>
      <c r="G8" s="332"/>
      <c r="H8" s="335" t="s">
        <v>387</v>
      </c>
      <c r="I8" s="335"/>
      <c r="J8" s="254" t="s">
        <v>82</v>
      </c>
      <c r="K8" s="255">
        <f>C22+C23+G24+G25+G26+K26+K27+K28</f>
        <v>184.39999999999998</v>
      </c>
    </row>
    <row r="9" spans="1:11" x14ac:dyDescent="0.3">
      <c r="A9" s="346"/>
      <c r="B9" s="346"/>
      <c r="C9" s="346"/>
      <c r="D9" s="346"/>
      <c r="E9" s="346"/>
      <c r="F9" s="346"/>
      <c r="G9" s="346"/>
      <c r="H9" s="346"/>
      <c r="I9" s="346"/>
      <c r="J9" s="346"/>
      <c r="K9" s="346"/>
    </row>
    <row r="10" spans="1:11" x14ac:dyDescent="0.3">
      <c r="A10" s="203" t="s">
        <v>380</v>
      </c>
      <c r="B10" s="203" t="s">
        <v>180</v>
      </c>
      <c r="C10" s="203" t="s">
        <v>381</v>
      </c>
      <c r="D10" s="347"/>
      <c r="E10" s="203" t="s">
        <v>380</v>
      </c>
      <c r="F10" s="203" t="s">
        <v>180</v>
      </c>
      <c r="G10" s="203" t="s">
        <v>381</v>
      </c>
      <c r="H10" s="347"/>
      <c r="I10" s="203" t="s">
        <v>380</v>
      </c>
      <c r="J10" s="203" t="s">
        <v>180</v>
      </c>
      <c r="K10" s="203" t="s">
        <v>381</v>
      </c>
    </row>
    <row r="11" spans="1:11" x14ac:dyDescent="0.3">
      <c r="A11" s="203" t="s">
        <v>181</v>
      </c>
      <c r="B11" s="257" t="s">
        <v>371</v>
      </c>
      <c r="C11" s="203">
        <v>24.5</v>
      </c>
      <c r="D11" s="347"/>
      <c r="E11" s="203" t="s">
        <v>21</v>
      </c>
      <c r="F11" s="257" t="s">
        <v>371</v>
      </c>
      <c r="G11" s="203">
        <v>26.8</v>
      </c>
      <c r="H11" s="347"/>
      <c r="I11" s="203" t="s">
        <v>90</v>
      </c>
      <c r="J11" s="257" t="s">
        <v>371</v>
      </c>
      <c r="K11" s="203">
        <v>26.3</v>
      </c>
    </row>
    <row r="12" spans="1:11" x14ac:dyDescent="0.3">
      <c r="A12" s="203" t="s">
        <v>182</v>
      </c>
      <c r="B12" s="257" t="s">
        <v>371</v>
      </c>
      <c r="C12" s="203">
        <v>25.5</v>
      </c>
      <c r="D12" s="347"/>
      <c r="E12" s="203" t="s">
        <v>22</v>
      </c>
      <c r="F12" s="257" t="s">
        <v>371</v>
      </c>
      <c r="G12" s="203">
        <v>27.7</v>
      </c>
      <c r="H12" s="347"/>
      <c r="I12" s="203" t="s">
        <v>91</v>
      </c>
      <c r="J12" s="257" t="s">
        <v>371</v>
      </c>
      <c r="K12" s="203">
        <v>26</v>
      </c>
    </row>
    <row r="13" spans="1:11" x14ac:dyDescent="0.3">
      <c r="A13" s="203" t="s">
        <v>183</v>
      </c>
      <c r="B13" s="257" t="s">
        <v>371</v>
      </c>
      <c r="C13" s="203">
        <v>25.53</v>
      </c>
      <c r="D13" s="347"/>
      <c r="E13" s="203" t="s">
        <v>23</v>
      </c>
      <c r="F13" s="257" t="s">
        <v>371</v>
      </c>
      <c r="G13" s="203">
        <v>26.3</v>
      </c>
      <c r="H13" s="347"/>
      <c r="I13" s="203" t="s">
        <v>92</v>
      </c>
      <c r="J13" s="257" t="s">
        <v>371</v>
      </c>
      <c r="K13" s="203">
        <v>26.9</v>
      </c>
    </row>
    <row r="14" spans="1:11" x14ac:dyDescent="0.3">
      <c r="A14" s="203" t="s">
        <v>184</v>
      </c>
      <c r="B14" s="257" t="s">
        <v>371</v>
      </c>
      <c r="C14" s="203">
        <v>25.5</v>
      </c>
      <c r="D14" s="347"/>
      <c r="E14" s="203" t="s">
        <v>26</v>
      </c>
      <c r="F14" s="257" t="s">
        <v>371</v>
      </c>
      <c r="G14" s="203">
        <v>30.2</v>
      </c>
      <c r="H14" s="347"/>
      <c r="I14" s="203" t="s">
        <v>93</v>
      </c>
      <c r="J14" s="257" t="s">
        <v>371</v>
      </c>
      <c r="K14" s="203">
        <v>26.5</v>
      </c>
    </row>
    <row r="15" spans="1:11" x14ac:dyDescent="0.3">
      <c r="A15" s="203" t="s">
        <v>178</v>
      </c>
      <c r="B15" s="257" t="s">
        <v>371</v>
      </c>
      <c r="C15" s="203">
        <v>25.6</v>
      </c>
      <c r="D15" s="347"/>
      <c r="E15" s="203" t="s">
        <v>27</v>
      </c>
      <c r="F15" s="257" t="s">
        <v>371</v>
      </c>
      <c r="G15" s="203">
        <v>27.7</v>
      </c>
      <c r="H15" s="347"/>
      <c r="I15" s="203" t="s">
        <v>96</v>
      </c>
      <c r="J15" s="257" t="s">
        <v>371</v>
      </c>
      <c r="K15" s="203">
        <v>26.9</v>
      </c>
    </row>
    <row r="16" spans="1:11" x14ac:dyDescent="0.3">
      <c r="A16" s="203" t="s">
        <v>185</v>
      </c>
      <c r="B16" s="257" t="s">
        <v>371</v>
      </c>
      <c r="C16" s="203">
        <v>24.1</v>
      </c>
      <c r="D16" s="347"/>
      <c r="E16" s="203" t="s">
        <v>28</v>
      </c>
      <c r="F16" s="257" t="s">
        <v>371</v>
      </c>
      <c r="G16" s="203">
        <v>27.7</v>
      </c>
      <c r="H16" s="347"/>
      <c r="I16" s="203" t="s">
        <v>97</v>
      </c>
      <c r="J16" s="257" t="s">
        <v>371</v>
      </c>
      <c r="K16" s="203">
        <v>26.9</v>
      </c>
    </row>
    <row r="17" spans="1:11" x14ac:dyDescent="0.3">
      <c r="A17" s="203" t="s">
        <v>179</v>
      </c>
      <c r="B17" s="257" t="s">
        <v>371</v>
      </c>
      <c r="C17" s="203">
        <v>25.5</v>
      </c>
      <c r="D17" s="347"/>
      <c r="E17" s="203" t="s">
        <v>29</v>
      </c>
      <c r="F17" s="257" t="s">
        <v>371</v>
      </c>
      <c r="G17" s="203">
        <v>25.5</v>
      </c>
      <c r="H17" s="347"/>
      <c r="I17" s="203" t="s">
        <v>98</v>
      </c>
      <c r="J17" s="257" t="s">
        <v>371</v>
      </c>
      <c r="K17" s="203">
        <v>27</v>
      </c>
    </row>
    <row r="18" spans="1:11" x14ac:dyDescent="0.3">
      <c r="A18" s="338" t="s">
        <v>154</v>
      </c>
      <c r="B18" s="339" t="s">
        <v>370</v>
      </c>
      <c r="C18" s="338">
        <v>45.4</v>
      </c>
      <c r="D18" s="347"/>
      <c r="E18" s="203" t="s">
        <v>30</v>
      </c>
      <c r="F18" s="257" t="s">
        <v>371</v>
      </c>
      <c r="G18" s="203">
        <v>27.7</v>
      </c>
      <c r="H18" s="347"/>
      <c r="I18" s="203" t="s">
        <v>99</v>
      </c>
      <c r="J18" s="257" t="s">
        <v>371</v>
      </c>
      <c r="K18" s="203">
        <v>24.8</v>
      </c>
    </row>
    <row r="19" spans="1:11" x14ac:dyDescent="0.3">
      <c r="A19" s="342" t="s">
        <v>376</v>
      </c>
      <c r="B19" s="343" t="s">
        <v>373</v>
      </c>
      <c r="C19" s="342">
        <v>39.6</v>
      </c>
      <c r="D19" s="347"/>
      <c r="E19" s="203" t="s">
        <v>32</v>
      </c>
      <c r="F19" s="257" t="s">
        <v>371</v>
      </c>
      <c r="G19" s="203">
        <v>27.7</v>
      </c>
      <c r="H19" s="347"/>
      <c r="I19" s="203" t="s">
        <v>100</v>
      </c>
      <c r="J19" s="257" t="s">
        <v>371</v>
      </c>
      <c r="K19" s="203">
        <v>27</v>
      </c>
    </row>
    <row r="20" spans="1:11" x14ac:dyDescent="0.3">
      <c r="A20" s="342" t="s">
        <v>377</v>
      </c>
      <c r="B20" s="343" t="s">
        <v>373</v>
      </c>
      <c r="C20" s="342">
        <v>20.2</v>
      </c>
      <c r="D20" s="347"/>
      <c r="E20" s="203" t="s">
        <v>196</v>
      </c>
      <c r="F20" s="257" t="s">
        <v>371</v>
      </c>
      <c r="G20" s="203">
        <v>9.9</v>
      </c>
      <c r="H20" s="347"/>
      <c r="I20" s="203" t="s">
        <v>101</v>
      </c>
      <c r="J20" s="257" t="s">
        <v>371</v>
      </c>
      <c r="K20" s="203">
        <v>26.9</v>
      </c>
    </row>
    <row r="21" spans="1:11" x14ac:dyDescent="0.3">
      <c r="A21" s="340" t="s">
        <v>378</v>
      </c>
      <c r="B21" s="341" t="s">
        <v>374</v>
      </c>
      <c r="C21" s="340">
        <v>29.6</v>
      </c>
      <c r="D21" s="347"/>
      <c r="E21" s="338" t="s">
        <v>24</v>
      </c>
      <c r="F21" s="339" t="s">
        <v>370</v>
      </c>
      <c r="G21" s="338">
        <v>56</v>
      </c>
      <c r="H21" s="347"/>
      <c r="I21" s="203" t="s">
        <v>369</v>
      </c>
      <c r="J21" s="257" t="s">
        <v>371</v>
      </c>
      <c r="K21" s="203">
        <v>9.9</v>
      </c>
    </row>
    <row r="22" spans="1:11" x14ac:dyDescent="0.3">
      <c r="A22" s="344" t="s">
        <v>378</v>
      </c>
      <c r="B22" s="256" t="s">
        <v>372</v>
      </c>
      <c r="C22" s="344">
        <v>11.2</v>
      </c>
      <c r="D22" s="347"/>
      <c r="E22" s="203" t="s">
        <v>197</v>
      </c>
      <c r="F22" s="257" t="s">
        <v>375</v>
      </c>
      <c r="G22" s="203">
        <v>9.9</v>
      </c>
      <c r="H22" s="347"/>
      <c r="I22" s="338" t="s">
        <v>94</v>
      </c>
      <c r="J22" s="339" t="s">
        <v>370</v>
      </c>
      <c r="K22" s="338">
        <v>41.9</v>
      </c>
    </row>
    <row r="23" spans="1:11" x14ac:dyDescent="0.3">
      <c r="A23" s="203" t="s">
        <v>267</v>
      </c>
      <c r="B23" s="257" t="s">
        <v>372</v>
      </c>
      <c r="C23" s="203">
        <v>29.2</v>
      </c>
      <c r="D23" s="347"/>
      <c r="E23" s="340" t="s">
        <v>56</v>
      </c>
      <c r="F23" s="341" t="s">
        <v>374</v>
      </c>
      <c r="G23" s="340">
        <v>24.8</v>
      </c>
      <c r="H23" s="347"/>
      <c r="I23" s="203" t="s">
        <v>368</v>
      </c>
      <c r="J23" s="257" t="s">
        <v>375</v>
      </c>
      <c r="K23" s="203">
        <v>9.9</v>
      </c>
    </row>
    <row r="24" spans="1:11" x14ac:dyDescent="0.3">
      <c r="A24" s="287"/>
      <c r="B24" s="287"/>
      <c r="C24" s="287"/>
      <c r="D24" s="347"/>
      <c r="E24" s="203" t="s">
        <v>31</v>
      </c>
      <c r="F24" s="257" t="s">
        <v>372</v>
      </c>
      <c r="G24" s="203">
        <v>29.2</v>
      </c>
      <c r="H24" s="347"/>
      <c r="I24" s="340" t="s">
        <v>108</v>
      </c>
      <c r="J24" s="341" t="s">
        <v>374</v>
      </c>
      <c r="K24" s="340">
        <v>30.7</v>
      </c>
    </row>
    <row r="25" spans="1:11" x14ac:dyDescent="0.3">
      <c r="A25" s="261"/>
      <c r="B25" s="261"/>
      <c r="C25" s="261"/>
      <c r="D25" s="347"/>
      <c r="E25" s="203" t="s">
        <v>42</v>
      </c>
      <c r="F25" s="257" t="s">
        <v>372</v>
      </c>
      <c r="G25" s="203">
        <v>27.6</v>
      </c>
      <c r="H25" s="347"/>
      <c r="I25" s="340" t="s">
        <v>121</v>
      </c>
      <c r="J25" s="341" t="s">
        <v>374</v>
      </c>
      <c r="K25" s="340">
        <v>19.5</v>
      </c>
    </row>
    <row r="26" spans="1:11" x14ac:dyDescent="0.3">
      <c r="A26" s="261"/>
      <c r="B26" s="261"/>
      <c r="C26" s="261"/>
      <c r="D26" s="347"/>
      <c r="E26" s="203" t="s">
        <v>379</v>
      </c>
      <c r="F26" s="257" t="s">
        <v>372</v>
      </c>
      <c r="G26" s="203">
        <v>10.4</v>
      </c>
      <c r="H26" s="347"/>
      <c r="I26" s="203" t="s">
        <v>102</v>
      </c>
      <c r="J26" s="257" t="s">
        <v>372</v>
      </c>
      <c r="K26" s="203">
        <v>29.2</v>
      </c>
    </row>
    <row r="27" spans="1:11" x14ac:dyDescent="0.3">
      <c r="A27" s="261"/>
      <c r="B27" s="261"/>
      <c r="C27" s="261"/>
      <c r="D27" s="347"/>
      <c r="E27" s="287"/>
      <c r="F27" s="287"/>
      <c r="G27" s="287"/>
      <c r="H27" s="347"/>
      <c r="I27" s="203" t="s">
        <v>107</v>
      </c>
      <c r="J27" s="257" t="s">
        <v>372</v>
      </c>
      <c r="K27" s="203">
        <v>36.799999999999997</v>
      </c>
    </row>
    <row r="28" spans="1:11" x14ac:dyDescent="0.3">
      <c r="A28" s="261"/>
      <c r="B28" s="261"/>
      <c r="C28" s="261"/>
      <c r="D28" s="347"/>
      <c r="E28" s="261"/>
      <c r="F28" s="261"/>
      <c r="G28" s="261"/>
      <c r="H28" s="347"/>
      <c r="I28" s="203" t="s">
        <v>108</v>
      </c>
      <c r="J28" s="257" t="s">
        <v>372</v>
      </c>
      <c r="K28" s="203">
        <v>10.8</v>
      </c>
    </row>
  </sheetData>
  <mergeCells count="19">
    <mergeCell ref="B7:G7"/>
    <mergeCell ref="B8:G8"/>
    <mergeCell ref="H2:I2"/>
    <mergeCell ref="H3:I3"/>
    <mergeCell ref="H4:I4"/>
    <mergeCell ref="H7:I7"/>
    <mergeCell ref="H8:I8"/>
    <mergeCell ref="H5:I5"/>
    <mergeCell ref="B5:G5"/>
    <mergeCell ref="B6:G6"/>
    <mergeCell ref="H6:I6"/>
    <mergeCell ref="B2:G2"/>
    <mergeCell ref="B3:G3"/>
    <mergeCell ref="B4:G4"/>
    <mergeCell ref="A9:K9"/>
    <mergeCell ref="H10:H28"/>
    <mergeCell ref="E27:G28"/>
    <mergeCell ref="D10:D28"/>
    <mergeCell ref="A24:C28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70" zoomScaleNormal="70" workbookViewId="0">
      <selection activeCell="B2" sqref="B2:D2"/>
    </sheetView>
  </sheetViews>
  <sheetFormatPr defaultRowHeight="14.4" x14ac:dyDescent="0.3"/>
  <cols>
    <col min="1" max="1" width="7.44140625" style="226" bestFit="1" customWidth="1"/>
    <col min="2" max="2" width="6" style="226" bestFit="1" customWidth="1"/>
    <col min="3" max="4" width="13.5546875" style="140" bestFit="1" customWidth="1"/>
    <col min="5" max="5" width="43.5546875" style="140" customWidth="1"/>
    <col min="6" max="6" width="7.5546875" style="140" customWidth="1"/>
    <col min="7" max="7" width="9" style="140" customWidth="1"/>
    <col min="8" max="16384" width="8.88671875" style="140"/>
  </cols>
  <sheetData>
    <row r="1" spans="1:7" ht="15.6" x14ac:dyDescent="0.3">
      <c r="A1" s="262" t="s">
        <v>316</v>
      </c>
      <c r="B1" s="263"/>
      <c r="C1" s="263"/>
      <c r="D1" s="263"/>
      <c r="E1" s="263"/>
      <c r="F1" s="263"/>
      <c r="G1" s="263"/>
    </row>
    <row r="2" spans="1:7" s="153" customFormat="1" ht="31.2" x14ac:dyDescent="0.3">
      <c r="A2" s="247" t="s">
        <v>0</v>
      </c>
      <c r="B2" s="264" t="s">
        <v>1</v>
      </c>
      <c r="C2" s="264"/>
      <c r="D2" s="264"/>
      <c r="E2" s="248" t="s">
        <v>175</v>
      </c>
      <c r="F2" s="249" t="s">
        <v>15</v>
      </c>
      <c r="G2" s="250" t="s">
        <v>8</v>
      </c>
    </row>
    <row r="3" spans="1:7" ht="28.8" x14ac:dyDescent="0.3">
      <c r="A3" s="230">
        <v>1</v>
      </c>
      <c r="B3" s="265" t="s">
        <v>249</v>
      </c>
      <c r="C3" s="265"/>
      <c r="D3" s="265"/>
      <c r="E3" s="231" t="s">
        <v>363</v>
      </c>
      <c r="F3" s="230" t="s">
        <v>82</v>
      </c>
      <c r="G3" s="232">
        <f>C15</f>
        <v>8639.7999999999993</v>
      </c>
    </row>
    <row r="4" spans="1:7" ht="28.8" x14ac:dyDescent="0.3">
      <c r="A4" s="230">
        <v>2</v>
      </c>
      <c r="B4" s="265" t="s">
        <v>249</v>
      </c>
      <c r="C4" s="265"/>
      <c r="D4" s="265"/>
      <c r="E4" s="231" t="s">
        <v>362</v>
      </c>
      <c r="F4" s="230" t="s">
        <v>82</v>
      </c>
      <c r="G4" s="232">
        <f>C20</f>
        <v>2701.3</v>
      </c>
    </row>
    <row r="5" spans="1:7" ht="28.8" x14ac:dyDescent="0.3">
      <c r="A5" s="227">
        <v>3</v>
      </c>
      <c r="B5" s="260" t="s">
        <v>249</v>
      </c>
      <c r="C5" s="260"/>
      <c r="D5" s="260"/>
      <c r="E5" s="228" t="s">
        <v>365</v>
      </c>
      <c r="F5" s="227" t="s">
        <v>82</v>
      </c>
      <c r="G5" s="229">
        <f>D15</f>
        <v>776.5</v>
      </c>
    </row>
    <row r="6" spans="1:7" ht="28.8" x14ac:dyDescent="0.3">
      <c r="A6" s="227">
        <v>4</v>
      </c>
      <c r="B6" s="260" t="s">
        <v>249</v>
      </c>
      <c r="C6" s="260"/>
      <c r="D6" s="260"/>
      <c r="E6" s="228" t="s">
        <v>364</v>
      </c>
      <c r="F6" s="227" t="s">
        <v>82</v>
      </c>
      <c r="G6" s="229">
        <f>D20</f>
        <v>924.09999999999991</v>
      </c>
    </row>
    <row r="7" spans="1:7" ht="15.6" x14ac:dyDescent="0.3">
      <c r="A7" s="259"/>
      <c r="B7" s="259"/>
      <c r="C7" s="259"/>
      <c r="D7" s="259"/>
      <c r="E7" s="259"/>
      <c r="F7" s="259"/>
      <c r="G7" s="259"/>
    </row>
    <row r="8" spans="1:7" ht="31.2" customHeight="1" x14ac:dyDescent="0.3">
      <c r="A8" s="235" t="s">
        <v>201</v>
      </c>
      <c r="B8" s="235" t="s">
        <v>333</v>
      </c>
      <c r="C8" s="233" t="s">
        <v>366</v>
      </c>
      <c r="D8" s="234" t="s">
        <v>367</v>
      </c>
      <c r="E8" s="261"/>
      <c r="F8" s="261"/>
      <c r="G8" s="261"/>
    </row>
    <row r="9" spans="1:7" ht="15.6" customHeight="1" x14ac:dyDescent="0.3">
      <c r="A9" s="236">
        <v>1</v>
      </c>
      <c r="B9" s="237" t="s">
        <v>11</v>
      </c>
      <c r="C9" s="241">
        <v>1467.2</v>
      </c>
      <c r="D9" s="242">
        <v>0</v>
      </c>
      <c r="E9" s="261"/>
      <c r="F9" s="261"/>
      <c r="G9" s="261"/>
    </row>
    <row r="10" spans="1:7" ht="15.6" customHeight="1" x14ac:dyDescent="0.3">
      <c r="A10" s="236">
        <v>1</v>
      </c>
      <c r="B10" s="237" t="s">
        <v>334</v>
      </c>
      <c r="C10" s="243">
        <v>1223.8</v>
      </c>
      <c r="D10" s="244">
        <v>0</v>
      </c>
      <c r="E10" s="261"/>
      <c r="F10" s="261"/>
      <c r="G10" s="261"/>
    </row>
    <row r="11" spans="1:7" ht="15.6" customHeight="1" x14ac:dyDescent="0.3">
      <c r="A11" s="236">
        <v>2</v>
      </c>
      <c r="B11" s="237" t="s">
        <v>11</v>
      </c>
      <c r="C11" s="241">
        <v>1536.1</v>
      </c>
      <c r="D11" s="242">
        <v>50.7</v>
      </c>
      <c r="E11" s="261"/>
      <c r="F11" s="261"/>
      <c r="G11" s="261"/>
    </row>
    <row r="12" spans="1:7" ht="15.6" customHeight="1" x14ac:dyDescent="0.3">
      <c r="A12" s="236">
        <v>2</v>
      </c>
      <c r="B12" s="237" t="s">
        <v>334</v>
      </c>
      <c r="C12" s="241">
        <v>2008.3</v>
      </c>
      <c r="D12" s="242">
        <v>408.6</v>
      </c>
      <c r="E12" s="261"/>
      <c r="F12" s="261"/>
      <c r="G12" s="261"/>
    </row>
    <row r="13" spans="1:7" ht="15.6" customHeight="1" x14ac:dyDescent="0.3">
      <c r="A13" s="236">
        <v>3</v>
      </c>
      <c r="B13" s="237" t="s">
        <v>11</v>
      </c>
      <c r="C13" s="243">
        <v>1763.1</v>
      </c>
      <c r="D13" s="244">
        <v>48.9</v>
      </c>
      <c r="E13" s="261"/>
      <c r="F13" s="261"/>
      <c r="G13" s="261"/>
    </row>
    <row r="14" spans="1:7" ht="15.6" customHeight="1" x14ac:dyDescent="0.3">
      <c r="A14" s="236">
        <v>3</v>
      </c>
      <c r="B14" s="237" t="s">
        <v>334</v>
      </c>
      <c r="C14" s="241">
        <v>641.29999999999995</v>
      </c>
      <c r="D14" s="242">
        <v>268.3</v>
      </c>
      <c r="E14" s="261"/>
      <c r="F14" s="261"/>
      <c r="G14" s="261"/>
    </row>
    <row r="15" spans="1:7" ht="15.6" customHeight="1" x14ac:dyDescent="0.3">
      <c r="A15" s="238"/>
      <c r="B15" s="239" t="s">
        <v>3</v>
      </c>
      <c r="C15" s="245">
        <f>SUM(C9:C14)</f>
        <v>8639.7999999999993</v>
      </c>
      <c r="D15" s="246">
        <f>SUM(D9:D14)</f>
        <v>776.5</v>
      </c>
      <c r="E15" s="261"/>
      <c r="F15" s="261"/>
      <c r="G15" s="261"/>
    </row>
    <row r="16" spans="1:7" ht="15.6" customHeight="1" x14ac:dyDescent="0.3">
      <c r="A16" s="240"/>
      <c r="B16" s="240"/>
      <c r="E16" s="261"/>
      <c r="F16" s="261"/>
      <c r="G16" s="261"/>
    </row>
    <row r="17" spans="1:7" ht="31.2" x14ac:dyDescent="0.3">
      <c r="A17" s="235" t="s">
        <v>201</v>
      </c>
      <c r="B17" s="235" t="s">
        <v>333</v>
      </c>
      <c r="C17" s="233" t="s">
        <v>366</v>
      </c>
      <c r="D17" s="234" t="s">
        <v>367</v>
      </c>
      <c r="E17" s="261"/>
      <c r="F17" s="261"/>
      <c r="G17" s="261"/>
    </row>
    <row r="18" spans="1:7" ht="15.6" customHeight="1" x14ac:dyDescent="0.3">
      <c r="A18" s="236">
        <v>2</v>
      </c>
      <c r="B18" s="237" t="s">
        <v>335</v>
      </c>
      <c r="C18" s="241">
        <v>2701.3</v>
      </c>
      <c r="D18" s="242">
        <v>513.9</v>
      </c>
      <c r="E18" s="261"/>
      <c r="F18" s="261"/>
      <c r="G18" s="261"/>
    </row>
    <row r="19" spans="1:7" ht="15.6" customHeight="1" x14ac:dyDescent="0.3">
      <c r="A19" s="236">
        <v>3</v>
      </c>
      <c r="B19" s="237" t="s">
        <v>335</v>
      </c>
      <c r="C19" s="241">
        <v>0</v>
      </c>
      <c r="D19" s="242">
        <v>410.2</v>
      </c>
      <c r="E19" s="261"/>
      <c r="F19" s="261"/>
      <c r="G19" s="261"/>
    </row>
    <row r="20" spans="1:7" x14ac:dyDescent="0.3">
      <c r="A20" s="238"/>
      <c r="B20" s="239" t="s">
        <v>3</v>
      </c>
      <c r="C20" s="245">
        <f>SUM(C18:C19)</f>
        <v>2701.3</v>
      </c>
      <c r="D20" s="246">
        <f>SUM(D18:D19)</f>
        <v>924.09999999999991</v>
      </c>
      <c r="E20" s="261"/>
      <c r="F20" s="261"/>
      <c r="G20" s="261"/>
    </row>
  </sheetData>
  <mergeCells count="8">
    <mergeCell ref="A7:G7"/>
    <mergeCell ref="B5:D5"/>
    <mergeCell ref="E8:G20"/>
    <mergeCell ref="A1:G1"/>
    <mergeCell ref="B2:D2"/>
    <mergeCell ref="B4:D4"/>
    <mergeCell ref="B6:D6"/>
    <mergeCell ref="B3:D3"/>
  </mergeCells>
  <pageMargins left="0.7" right="0.7" top="0.75" bottom="0.75" header="0.3" footer="0.3"/>
  <pageSetup paperSize="9" orientation="portrait" horizontalDpi="0" verticalDpi="0" r:id="rId1"/>
  <ignoredErrors>
    <ignoredError sqref="B9:B14 B18:B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zoomScale="85" zoomScaleNormal="85" workbookViewId="0">
      <selection activeCell="K19" sqref="J19:K19"/>
    </sheetView>
  </sheetViews>
  <sheetFormatPr defaultRowHeight="13.2" x14ac:dyDescent="0.3"/>
  <cols>
    <col min="1" max="1" width="13.5546875" style="161" customWidth="1"/>
    <col min="2" max="2" width="7.44140625" style="161" customWidth="1"/>
    <col min="3" max="3" width="7.21875" style="161" customWidth="1"/>
    <col min="4" max="4" width="1.6640625" style="161" customWidth="1"/>
    <col min="5" max="6" width="7.6640625" style="161" customWidth="1"/>
    <col min="7" max="7" width="7.44140625" style="161" customWidth="1"/>
    <col min="8" max="8" width="8.77734375" style="161" customWidth="1"/>
    <col min="9" max="16384" width="8.88671875" style="161"/>
  </cols>
  <sheetData>
    <row r="1" spans="1:9" ht="39.6" x14ac:dyDescent="0.3">
      <c r="A1" s="218" t="s">
        <v>208</v>
      </c>
      <c r="B1" s="218" t="s">
        <v>209</v>
      </c>
      <c r="C1" s="218" t="s">
        <v>210</v>
      </c>
      <c r="D1" s="223"/>
      <c r="E1" s="271" t="s">
        <v>208</v>
      </c>
      <c r="F1" s="271"/>
      <c r="G1" s="218" t="s">
        <v>218</v>
      </c>
      <c r="H1" s="218" t="s">
        <v>210</v>
      </c>
      <c r="I1" s="218" t="s">
        <v>216</v>
      </c>
    </row>
    <row r="2" spans="1:9" ht="26.4" x14ac:dyDescent="0.3">
      <c r="A2" s="218" t="s">
        <v>235</v>
      </c>
      <c r="B2" s="219">
        <f>F17</f>
        <v>3</v>
      </c>
      <c r="C2" s="219">
        <f>G17</f>
        <v>10</v>
      </c>
      <c r="D2" s="223"/>
      <c r="E2" s="268" t="s">
        <v>238</v>
      </c>
      <c r="F2" s="270"/>
      <c r="G2" s="218">
        <v>200</v>
      </c>
      <c r="H2" s="219">
        <f>C2</f>
        <v>10</v>
      </c>
      <c r="I2" s="219">
        <f>H2/5</f>
        <v>2</v>
      </c>
    </row>
    <row r="3" spans="1:9" ht="26.4" x14ac:dyDescent="0.3">
      <c r="A3" s="218" t="s">
        <v>236</v>
      </c>
      <c r="B3" s="219">
        <f>F24</f>
        <v>6</v>
      </c>
      <c r="C3" s="219">
        <f>G24</f>
        <v>14</v>
      </c>
      <c r="D3" s="223"/>
      <c r="E3" s="268" t="s">
        <v>239</v>
      </c>
      <c r="F3" s="270"/>
      <c r="G3" s="218">
        <v>200</v>
      </c>
      <c r="H3" s="219">
        <f t="shared" ref="H3" si="0">C3</f>
        <v>14</v>
      </c>
      <c r="I3" s="219">
        <f t="shared" ref="I3" si="1">H3/5</f>
        <v>2.8</v>
      </c>
    </row>
    <row r="4" spans="1:9" ht="26.4" x14ac:dyDescent="0.3">
      <c r="A4" s="218" t="s">
        <v>237</v>
      </c>
      <c r="B4" s="219">
        <f>F31</f>
        <v>12</v>
      </c>
      <c r="C4" s="219">
        <f>G31</f>
        <v>36</v>
      </c>
      <c r="D4" s="223"/>
      <c r="E4" s="268" t="s">
        <v>240</v>
      </c>
      <c r="F4" s="270"/>
      <c r="G4" s="218">
        <v>200</v>
      </c>
      <c r="H4" s="219">
        <f t="shared" ref="H4" si="2">C4</f>
        <v>36</v>
      </c>
      <c r="I4" s="219">
        <f t="shared" ref="I4" si="3">H4/5</f>
        <v>7.2</v>
      </c>
    </row>
    <row r="5" spans="1:9" ht="26.4" customHeight="1" x14ac:dyDescent="0.3">
      <c r="A5" s="218" t="s">
        <v>349</v>
      </c>
      <c r="B5" s="219">
        <f>F43</f>
        <v>106</v>
      </c>
      <c r="C5" s="219">
        <f>G43</f>
        <v>328</v>
      </c>
      <c r="D5" s="223"/>
      <c r="E5" s="268" t="s">
        <v>357</v>
      </c>
      <c r="F5" s="270"/>
      <c r="G5" s="218">
        <v>200</v>
      </c>
      <c r="H5" s="219">
        <f t="shared" ref="H5:H9" si="4">C5</f>
        <v>328</v>
      </c>
      <c r="I5" s="219">
        <f t="shared" ref="I5:I9" si="5">H5/5</f>
        <v>65.599999999999994</v>
      </c>
    </row>
    <row r="6" spans="1:9" ht="26.4" customHeight="1" x14ac:dyDescent="0.3">
      <c r="A6" s="218" t="s">
        <v>353</v>
      </c>
      <c r="B6" s="219">
        <f>F55</f>
        <v>109</v>
      </c>
      <c r="C6" s="219">
        <f>G55</f>
        <v>513</v>
      </c>
      <c r="D6" s="223"/>
      <c r="E6" s="268" t="s">
        <v>356</v>
      </c>
      <c r="F6" s="270"/>
      <c r="G6" s="218">
        <v>200</v>
      </c>
      <c r="H6" s="219">
        <f t="shared" si="4"/>
        <v>513</v>
      </c>
      <c r="I6" s="219">
        <f t="shared" si="5"/>
        <v>102.6</v>
      </c>
    </row>
    <row r="7" spans="1:9" ht="26.4" customHeight="1" x14ac:dyDescent="0.3">
      <c r="A7" s="218" t="s">
        <v>354</v>
      </c>
      <c r="B7" s="219">
        <f>F65</f>
        <v>40</v>
      </c>
      <c r="C7" s="219">
        <f>G65</f>
        <v>116</v>
      </c>
      <c r="D7" s="223"/>
      <c r="E7" s="268" t="s">
        <v>355</v>
      </c>
      <c r="F7" s="270"/>
      <c r="G7" s="218">
        <v>200</v>
      </c>
      <c r="H7" s="219">
        <f t="shared" si="4"/>
        <v>116</v>
      </c>
      <c r="I7" s="219">
        <f t="shared" si="5"/>
        <v>23.2</v>
      </c>
    </row>
    <row r="8" spans="1:9" ht="26.4" customHeight="1" x14ac:dyDescent="0.3">
      <c r="A8" s="218" t="s">
        <v>350</v>
      </c>
      <c r="B8" s="219">
        <f>F78</f>
        <v>81</v>
      </c>
      <c r="C8" s="219">
        <f>G78</f>
        <v>575</v>
      </c>
      <c r="D8" s="223"/>
      <c r="E8" s="268" t="s">
        <v>358</v>
      </c>
      <c r="F8" s="270"/>
      <c r="G8" s="218">
        <v>200</v>
      </c>
      <c r="H8" s="219">
        <f t="shared" si="4"/>
        <v>575</v>
      </c>
      <c r="I8" s="219">
        <f t="shared" si="5"/>
        <v>115</v>
      </c>
    </row>
    <row r="9" spans="1:9" ht="26.4" customHeight="1" x14ac:dyDescent="0.3">
      <c r="A9" s="218" t="s">
        <v>351</v>
      </c>
      <c r="B9" s="219">
        <f>F86</f>
        <v>5</v>
      </c>
      <c r="C9" s="219">
        <f>G86</f>
        <v>30</v>
      </c>
      <c r="D9" s="223"/>
      <c r="E9" s="268" t="s">
        <v>352</v>
      </c>
      <c r="F9" s="270"/>
      <c r="G9" s="218">
        <v>200</v>
      </c>
      <c r="H9" s="219">
        <f t="shared" si="4"/>
        <v>30</v>
      </c>
      <c r="I9" s="219">
        <f t="shared" si="5"/>
        <v>6</v>
      </c>
    </row>
    <row r="10" spans="1:9" s="166" customFormat="1" x14ac:dyDescent="0.3">
      <c r="A10" s="220" t="s">
        <v>241</v>
      </c>
      <c r="B10" s="164">
        <f>SUM(B2:B9)</f>
        <v>362</v>
      </c>
      <c r="C10" s="164">
        <f>SUM(C2:C9)</f>
        <v>1622</v>
      </c>
      <c r="D10" s="224"/>
      <c r="E10" s="274" t="s">
        <v>241</v>
      </c>
      <c r="F10" s="275"/>
      <c r="G10" s="220"/>
      <c r="H10" s="164">
        <f>SUM(H2:H9)</f>
        <v>1622</v>
      </c>
      <c r="I10" s="164">
        <f>SUM(I2:I9)</f>
        <v>324.39999999999998</v>
      </c>
    </row>
    <row r="12" spans="1:9" x14ac:dyDescent="0.3">
      <c r="A12" s="268" t="s">
        <v>217</v>
      </c>
      <c r="B12" s="269"/>
      <c r="C12" s="269"/>
      <c r="D12" s="269"/>
      <c r="E12" s="269"/>
      <c r="F12" s="269"/>
      <c r="G12" s="269"/>
      <c r="H12" s="270"/>
    </row>
    <row r="13" spans="1:9" x14ac:dyDescent="0.3">
      <c r="A13" s="268" t="s">
        <v>211</v>
      </c>
      <c r="B13" s="269"/>
      <c r="C13" s="269"/>
      <c r="D13" s="269"/>
      <c r="E13" s="269"/>
      <c r="F13" s="269"/>
      <c r="G13" s="269"/>
      <c r="H13" s="270"/>
    </row>
    <row r="14" spans="1:9" ht="26.4" x14ac:dyDescent="0.3">
      <c r="A14" s="218" t="s">
        <v>1</v>
      </c>
      <c r="B14" s="218" t="s">
        <v>210</v>
      </c>
      <c r="C14" s="271" t="s">
        <v>212</v>
      </c>
      <c r="D14" s="271"/>
      <c r="E14" s="218" t="s">
        <v>213</v>
      </c>
      <c r="F14" s="218" t="s">
        <v>214</v>
      </c>
      <c r="G14" s="218" t="s">
        <v>215</v>
      </c>
      <c r="H14" s="218" t="s">
        <v>216</v>
      </c>
    </row>
    <row r="15" spans="1:9" x14ac:dyDescent="0.3">
      <c r="A15" s="220" t="s">
        <v>221</v>
      </c>
      <c r="B15" s="218">
        <v>2</v>
      </c>
      <c r="C15" s="267">
        <v>3</v>
      </c>
      <c r="D15" s="267"/>
      <c r="E15" s="219">
        <v>3</v>
      </c>
      <c r="F15" s="218">
        <v>1</v>
      </c>
      <c r="G15" s="219">
        <f>B15*F15</f>
        <v>2</v>
      </c>
      <c r="H15" s="218">
        <f>G15/5</f>
        <v>0.4</v>
      </c>
    </row>
    <row r="16" spans="1:9" x14ac:dyDescent="0.3">
      <c r="A16" s="220" t="s">
        <v>222</v>
      </c>
      <c r="B16" s="218">
        <v>4</v>
      </c>
      <c r="C16" s="267">
        <v>3</v>
      </c>
      <c r="D16" s="267"/>
      <c r="E16" s="219">
        <v>3</v>
      </c>
      <c r="F16" s="218">
        <v>2</v>
      </c>
      <c r="G16" s="219">
        <f t="shared" ref="G16" si="6">B16*F16</f>
        <v>8</v>
      </c>
      <c r="H16" s="218">
        <f t="shared" ref="H16" si="7">G16/5</f>
        <v>1.6</v>
      </c>
    </row>
    <row r="17" spans="1:8" x14ac:dyDescent="0.3">
      <c r="A17" s="220" t="s">
        <v>251</v>
      </c>
      <c r="B17" s="220"/>
      <c r="C17" s="266"/>
      <c r="D17" s="266"/>
      <c r="E17" s="220"/>
      <c r="F17" s="220">
        <f>SUM(F15:F16)</f>
        <v>3</v>
      </c>
      <c r="G17" s="164">
        <f>SUM(G15:G16)</f>
        <v>10</v>
      </c>
      <c r="H17" s="164">
        <f>SUM(H15:H16)</f>
        <v>2</v>
      </c>
    </row>
    <row r="19" spans="1:8" x14ac:dyDescent="0.3">
      <c r="A19" s="268" t="s">
        <v>220</v>
      </c>
      <c r="B19" s="269"/>
      <c r="C19" s="269"/>
      <c r="D19" s="269"/>
      <c r="E19" s="269"/>
      <c r="F19" s="269"/>
      <c r="G19" s="269"/>
      <c r="H19" s="270"/>
    </row>
    <row r="20" spans="1:8" x14ac:dyDescent="0.3">
      <c r="A20" s="268" t="s">
        <v>211</v>
      </c>
      <c r="B20" s="269"/>
      <c r="C20" s="269"/>
      <c r="D20" s="269"/>
      <c r="E20" s="269"/>
      <c r="F20" s="269"/>
      <c r="G20" s="269"/>
      <c r="H20" s="270"/>
    </row>
    <row r="21" spans="1:8" ht="26.4" x14ac:dyDescent="0.3">
      <c r="A21" s="218" t="s">
        <v>1</v>
      </c>
      <c r="B21" s="218" t="s">
        <v>210</v>
      </c>
      <c r="C21" s="271" t="s">
        <v>212</v>
      </c>
      <c r="D21" s="271"/>
      <c r="E21" s="218" t="s">
        <v>213</v>
      </c>
      <c r="F21" s="218" t="s">
        <v>214</v>
      </c>
      <c r="G21" s="218" t="s">
        <v>215</v>
      </c>
      <c r="H21" s="218" t="s">
        <v>216</v>
      </c>
    </row>
    <row r="22" spans="1:8" x14ac:dyDescent="0.3">
      <c r="A22" s="220" t="s">
        <v>221</v>
      </c>
      <c r="B22" s="218">
        <v>2</v>
      </c>
      <c r="C22" s="267">
        <v>3</v>
      </c>
      <c r="D22" s="267"/>
      <c r="E22" s="219">
        <v>3</v>
      </c>
      <c r="F22" s="218">
        <v>5</v>
      </c>
      <c r="G22" s="219">
        <f>B22*F22</f>
        <v>10</v>
      </c>
      <c r="H22" s="218">
        <f>G22/5</f>
        <v>2</v>
      </c>
    </row>
    <row r="23" spans="1:8" x14ac:dyDescent="0.3">
      <c r="A23" s="220" t="s">
        <v>222</v>
      </c>
      <c r="B23" s="218">
        <v>4</v>
      </c>
      <c r="C23" s="267">
        <v>3</v>
      </c>
      <c r="D23" s="267"/>
      <c r="E23" s="219">
        <v>3</v>
      </c>
      <c r="F23" s="218">
        <v>1</v>
      </c>
      <c r="G23" s="219">
        <f t="shared" ref="G23" si="8">B23*F23</f>
        <v>4</v>
      </c>
      <c r="H23" s="218">
        <f t="shared" ref="H23" si="9">G23/5</f>
        <v>0.8</v>
      </c>
    </row>
    <row r="24" spans="1:8" ht="26.4" x14ac:dyDescent="0.3">
      <c r="A24" s="220" t="s">
        <v>252</v>
      </c>
      <c r="B24" s="220"/>
      <c r="C24" s="266"/>
      <c r="D24" s="266"/>
      <c r="E24" s="220"/>
      <c r="F24" s="220">
        <f>SUM(F22:F23)</f>
        <v>6</v>
      </c>
      <c r="G24" s="164">
        <f>SUM(G22:G23)</f>
        <v>14</v>
      </c>
      <c r="H24" s="164">
        <f>SUM(H22:H23)</f>
        <v>2.8</v>
      </c>
    </row>
    <row r="26" spans="1:8" x14ac:dyDescent="0.3">
      <c r="A26" s="268" t="s">
        <v>219</v>
      </c>
      <c r="B26" s="269"/>
      <c r="C26" s="269"/>
      <c r="D26" s="269"/>
      <c r="E26" s="269"/>
      <c r="F26" s="269"/>
      <c r="G26" s="269"/>
      <c r="H26" s="270"/>
    </row>
    <row r="27" spans="1:8" x14ac:dyDescent="0.3">
      <c r="A27" s="268" t="s">
        <v>211</v>
      </c>
      <c r="B27" s="269"/>
      <c r="C27" s="269"/>
      <c r="D27" s="269"/>
      <c r="E27" s="269"/>
      <c r="F27" s="269"/>
      <c r="G27" s="269"/>
      <c r="H27" s="270"/>
    </row>
    <row r="28" spans="1:8" ht="26.4" x14ac:dyDescent="0.3">
      <c r="A28" s="218" t="s">
        <v>1</v>
      </c>
      <c r="B28" s="218" t="s">
        <v>210</v>
      </c>
      <c r="C28" s="271" t="s">
        <v>212</v>
      </c>
      <c r="D28" s="271"/>
      <c r="E28" s="218" t="s">
        <v>213</v>
      </c>
      <c r="F28" s="218" t="s">
        <v>214</v>
      </c>
      <c r="G28" s="218" t="s">
        <v>215</v>
      </c>
      <c r="H28" s="218" t="s">
        <v>216</v>
      </c>
    </row>
    <row r="29" spans="1:8" x14ac:dyDescent="0.3">
      <c r="A29" s="220" t="s">
        <v>221</v>
      </c>
      <c r="B29" s="218">
        <v>2</v>
      </c>
      <c r="C29" s="267">
        <v>3</v>
      </c>
      <c r="D29" s="267"/>
      <c r="E29" s="219">
        <v>3</v>
      </c>
      <c r="F29" s="218">
        <v>6</v>
      </c>
      <c r="G29" s="219">
        <f>B29*F29</f>
        <v>12</v>
      </c>
      <c r="H29" s="218">
        <f>G29/5</f>
        <v>2.4</v>
      </c>
    </row>
    <row r="30" spans="1:8" x14ac:dyDescent="0.3">
      <c r="A30" s="220" t="s">
        <v>222</v>
      </c>
      <c r="B30" s="218">
        <v>4</v>
      </c>
      <c r="C30" s="267">
        <v>3</v>
      </c>
      <c r="D30" s="267"/>
      <c r="E30" s="219">
        <v>3</v>
      </c>
      <c r="F30" s="218">
        <v>6</v>
      </c>
      <c r="G30" s="219">
        <f t="shared" ref="G30" si="10">B30*F30</f>
        <v>24</v>
      </c>
      <c r="H30" s="218">
        <f t="shared" ref="H30" si="11">G30/5</f>
        <v>4.8</v>
      </c>
    </row>
    <row r="31" spans="1:8" ht="26.4" x14ac:dyDescent="0.3">
      <c r="A31" s="220" t="s">
        <v>250</v>
      </c>
      <c r="B31" s="220"/>
      <c r="C31" s="266"/>
      <c r="D31" s="266"/>
      <c r="E31" s="220"/>
      <c r="F31" s="165">
        <f>SUM(F29:F30)</f>
        <v>12</v>
      </c>
      <c r="G31" s="164">
        <f>SUM(G29:G30)</f>
        <v>36</v>
      </c>
      <c r="H31" s="164">
        <f>SUM(H29:H30)</f>
        <v>7.1999999999999993</v>
      </c>
    </row>
    <row r="33" spans="1:8" x14ac:dyDescent="0.3">
      <c r="A33" s="268" t="s">
        <v>346</v>
      </c>
      <c r="B33" s="269"/>
      <c r="C33" s="269"/>
      <c r="D33" s="269"/>
      <c r="E33" s="269"/>
      <c r="F33" s="269"/>
      <c r="G33" s="269"/>
      <c r="H33" s="270"/>
    </row>
    <row r="34" spans="1:8" x14ac:dyDescent="0.3">
      <c r="A34" s="268" t="s">
        <v>211</v>
      </c>
      <c r="B34" s="269"/>
      <c r="C34" s="269"/>
      <c r="D34" s="269"/>
      <c r="E34" s="269"/>
      <c r="F34" s="269"/>
      <c r="G34" s="269"/>
      <c r="H34" s="270"/>
    </row>
    <row r="35" spans="1:8" ht="26.4" x14ac:dyDescent="0.3">
      <c r="A35" s="218" t="s">
        <v>1</v>
      </c>
      <c r="B35" s="218" t="s">
        <v>210</v>
      </c>
      <c r="C35" s="271" t="s">
        <v>212</v>
      </c>
      <c r="D35" s="271"/>
      <c r="E35" s="218" t="s">
        <v>213</v>
      </c>
      <c r="F35" s="218" t="s">
        <v>214</v>
      </c>
      <c r="G35" s="218" t="s">
        <v>215</v>
      </c>
      <c r="H35" s="218" t="s">
        <v>216</v>
      </c>
    </row>
    <row r="36" spans="1:8" x14ac:dyDescent="0.3">
      <c r="A36" s="220" t="s">
        <v>221</v>
      </c>
      <c r="B36" s="218">
        <v>1</v>
      </c>
      <c r="C36" s="267">
        <v>3</v>
      </c>
      <c r="D36" s="267"/>
      <c r="E36" s="219">
        <v>3</v>
      </c>
      <c r="F36" s="218">
        <v>14</v>
      </c>
      <c r="G36" s="219">
        <f>B36*F36</f>
        <v>14</v>
      </c>
      <c r="H36" s="218">
        <f>G36/5</f>
        <v>2.8</v>
      </c>
    </row>
    <row r="37" spans="1:8" x14ac:dyDescent="0.3">
      <c r="A37" s="220" t="s">
        <v>222</v>
      </c>
      <c r="B37" s="218">
        <v>2</v>
      </c>
      <c r="C37" s="267">
        <v>3</v>
      </c>
      <c r="D37" s="267"/>
      <c r="E37" s="219">
        <v>3</v>
      </c>
      <c r="F37" s="218">
        <v>40</v>
      </c>
      <c r="G37" s="219">
        <f t="shared" ref="G37:G42" si="12">B37*F37</f>
        <v>80</v>
      </c>
      <c r="H37" s="218">
        <f t="shared" ref="H37:H42" si="13">G37/5</f>
        <v>16</v>
      </c>
    </row>
    <row r="38" spans="1:8" x14ac:dyDescent="0.3">
      <c r="A38" s="220" t="s">
        <v>223</v>
      </c>
      <c r="B38" s="218">
        <v>3</v>
      </c>
      <c r="C38" s="267">
        <v>3</v>
      </c>
      <c r="D38" s="267"/>
      <c r="E38" s="219">
        <v>3</v>
      </c>
      <c r="F38" s="218">
        <v>11</v>
      </c>
      <c r="G38" s="219">
        <f t="shared" si="12"/>
        <v>33</v>
      </c>
      <c r="H38" s="218">
        <f t="shared" si="13"/>
        <v>6.6</v>
      </c>
    </row>
    <row r="39" spans="1:8" x14ac:dyDescent="0.3">
      <c r="A39" s="220" t="s">
        <v>224</v>
      </c>
      <c r="B39" s="218">
        <v>4</v>
      </c>
      <c r="C39" s="267">
        <v>3</v>
      </c>
      <c r="D39" s="267"/>
      <c r="E39" s="219">
        <v>3</v>
      </c>
      <c r="F39" s="218">
        <v>26</v>
      </c>
      <c r="G39" s="219">
        <f t="shared" si="12"/>
        <v>104</v>
      </c>
      <c r="H39" s="218">
        <f t="shared" si="13"/>
        <v>20.8</v>
      </c>
    </row>
    <row r="40" spans="1:8" x14ac:dyDescent="0.3">
      <c r="A40" s="220" t="s">
        <v>225</v>
      </c>
      <c r="B40" s="218">
        <v>5</v>
      </c>
      <c r="C40" s="267">
        <v>3</v>
      </c>
      <c r="D40" s="267"/>
      <c r="E40" s="219">
        <v>3</v>
      </c>
      <c r="F40" s="218">
        <v>7</v>
      </c>
      <c r="G40" s="219">
        <f t="shared" si="12"/>
        <v>35</v>
      </c>
      <c r="H40" s="218">
        <f t="shared" si="13"/>
        <v>7</v>
      </c>
    </row>
    <row r="41" spans="1:8" x14ac:dyDescent="0.3">
      <c r="A41" s="220" t="s">
        <v>227</v>
      </c>
      <c r="B41" s="218">
        <v>7</v>
      </c>
      <c r="C41" s="267">
        <v>3</v>
      </c>
      <c r="D41" s="267"/>
      <c r="E41" s="219">
        <v>3</v>
      </c>
      <c r="F41" s="218">
        <v>2</v>
      </c>
      <c r="G41" s="219">
        <f t="shared" si="12"/>
        <v>14</v>
      </c>
      <c r="H41" s="218">
        <f t="shared" si="13"/>
        <v>2.8</v>
      </c>
    </row>
    <row r="42" spans="1:8" x14ac:dyDescent="0.3">
      <c r="A42" s="220" t="s">
        <v>228</v>
      </c>
      <c r="B42" s="218">
        <v>8</v>
      </c>
      <c r="C42" s="267">
        <v>3</v>
      </c>
      <c r="D42" s="267"/>
      <c r="E42" s="219">
        <v>3</v>
      </c>
      <c r="F42" s="218">
        <v>6</v>
      </c>
      <c r="G42" s="219">
        <f t="shared" si="12"/>
        <v>48</v>
      </c>
      <c r="H42" s="218">
        <f t="shared" si="13"/>
        <v>9.6</v>
      </c>
    </row>
    <row r="43" spans="1:8" ht="26.4" x14ac:dyDescent="0.3">
      <c r="A43" s="220" t="s">
        <v>250</v>
      </c>
      <c r="B43" s="220"/>
      <c r="C43" s="266"/>
      <c r="D43" s="266"/>
      <c r="E43" s="220"/>
      <c r="F43" s="165">
        <f>SUM(F36:F42)</f>
        <v>106</v>
      </c>
      <c r="G43" s="164">
        <f>SUM(G36:G42)</f>
        <v>328</v>
      </c>
      <c r="H43" s="164">
        <f>SUM(H36:H42)</f>
        <v>65.599999999999994</v>
      </c>
    </row>
    <row r="45" spans="1:8" x14ac:dyDescent="0.3">
      <c r="A45" s="268" t="s">
        <v>347</v>
      </c>
      <c r="B45" s="269"/>
      <c r="C45" s="269"/>
      <c r="D45" s="269"/>
      <c r="E45" s="269"/>
      <c r="F45" s="269"/>
      <c r="G45" s="269"/>
      <c r="H45" s="270"/>
    </row>
    <row r="46" spans="1:8" x14ac:dyDescent="0.3">
      <c r="A46" s="268" t="s">
        <v>211</v>
      </c>
      <c r="B46" s="269"/>
      <c r="C46" s="269"/>
      <c r="D46" s="269"/>
      <c r="E46" s="269"/>
      <c r="F46" s="269"/>
      <c r="G46" s="269"/>
      <c r="H46" s="270"/>
    </row>
    <row r="47" spans="1:8" ht="26.4" x14ac:dyDescent="0.3">
      <c r="A47" s="218" t="s">
        <v>1</v>
      </c>
      <c r="B47" s="218" t="s">
        <v>210</v>
      </c>
      <c r="C47" s="271" t="s">
        <v>212</v>
      </c>
      <c r="D47" s="271"/>
      <c r="E47" s="218" t="s">
        <v>213</v>
      </c>
      <c r="F47" s="218" t="s">
        <v>214</v>
      </c>
      <c r="G47" s="218" t="s">
        <v>215</v>
      </c>
      <c r="H47" s="218" t="s">
        <v>216</v>
      </c>
    </row>
    <row r="48" spans="1:8" x14ac:dyDescent="0.3">
      <c r="A48" s="220" t="s">
        <v>221</v>
      </c>
      <c r="B48" s="218">
        <v>1</v>
      </c>
      <c r="C48" s="267">
        <v>3</v>
      </c>
      <c r="D48" s="267"/>
      <c r="E48" s="219">
        <v>3</v>
      </c>
      <c r="F48" s="218">
        <v>3</v>
      </c>
      <c r="G48" s="219">
        <f>B48*F48</f>
        <v>3</v>
      </c>
      <c r="H48" s="218">
        <f>G48/5</f>
        <v>0.6</v>
      </c>
    </row>
    <row r="49" spans="1:8" x14ac:dyDescent="0.3">
      <c r="A49" s="220" t="s">
        <v>222</v>
      </c>
      <c r="B49" s="218">
        <v>2</v>
      </c>
      <c r="C49" s="267">
        <v>3</v>
      </c>
      <c r="D49" s="267"/>
      <c r="E49" s="219">
        <v>3</v>
      </c>
      <c r="F49" s="218">
        <v>38</v>
      </c>
      <c r="G49" s="219">
        <f t="shared" ref="G49:G51" si="14">B49*F49</f>
        <v>76</v>
      </c>
      <c r="H49" s="218">
        <f t="shared" ref="H49:H51" si="15">G49/5</f>
        <v>15.2</v>
      </c>
    </row>
    <row r="50" spans="1:8" x14ac:dyDescent="0.3">
      <c r="A50" s="220" t="s">
        <v>223</v>
      </c>
      <c r="B50" s="218">
        <v>3</v>
      </c>
      <c r="C50" s="267">
        <v>3</v>
      </c>
      <c r="D50" s="267"/>
      <c r="E50" s="219">
        <v>3</v>
      </c>
      <c r="F50" s="218">
        <v>8</v>
      </c>
      <c r="G50" s="219">
        <f t="shared" si="14"/>
        <v>24</v>
      </c>
      <c r="H50" s="218">
        <f t="shared" si="15"/>
        <v>4.8</v>
      </c>
    </row>
    <row r="51" spans="1:8" x14ac:dyDescent="0.3">
      <c r="A51" s="220" t="s">
        <v>224</v>
      </c>
      <c r="B51" s="218">
        <v>4</v>
      </c>
      <c r="C51" s="272">
        <v>3</v>
      </c>
      <c r="D51" s="273"/>
      <c r="E51" s="219">
        <v>3</v>
      </c>
      <c r="F51" s="218">
        <v>27</v>
      </c>
      <c r="G51" s="219">
        <f t="shared" si="14"/>
        <v>108</v>
      </c>
      <c r="H51" s="218">
        <f t="shared" si="15"/>
        <v>21.6</v>
      </c>
    </row>
    <row r="52" spans="1:8" x14ac:dyDescent="0.3">
      <c r="A52" s="220" t="s">
        <v>227</v>
      </c>
      <c r="B52" s="218">
        <v>7</v>
      </c>
      <c r="C52" s="267">
        <v>3</v>
      </c>
      <c r="D52" s="267"/>
      <c r="E52" s="219">
        <v>3</v>
      </c>
      <c r="F52" s="218">
        <v>2</v>
      </c>
      <c r="G52" s="219">
        <f t="shared" ref="G52:G54" si="16">B52*F52</f>
        <v>14</v>
      </c>
      <c r="H52" s="218">
        <f t="shared" ref="H52:H54" si="17">G52/5</f>
        <v>2.8</v>
      </c>
    </row>
    <row r="53" spans="1:8" x14ac:dyDescent="0.3">
      <c r="A53" s="220" t="s">
        <v>228</v>
      </c>
      <c r="B53" s="218">
        <v>8</v>
      </c>
      <c r="C53" s="267">
        <v>3</v>
      </c>
      <c r="D53" s="267"/>
      <c r="E53" s="219">
        <v>3</v>
      </c>
      <c r="F53" s="218">
        <v>11</v>
      </c>
      <c r="G53" s="219">
        <f t="shared" si="16"/>
        <v>88</v>
      </c>
      <c r="H53" s="218">
        <f t="shared" si="17"/>
        <v>17.600000000000001</v>
      </c>
    </row>
    <row r="54" spans="1:8" x14ac:dyDescent="0.3">
      <c r="A54" s="220" t="s">
        <v>230</v>
      </c>
      <c r="B54" s="218">
        <v>10</v>
      </c>
      <c r="C54" s="267">
        <v>3</v>
      </c>
      <c r="D54" s="267"/>
      <c r="E54" s="219">
        <v>3</v>
      </c>
      <c r="F54" s="218">
        <v>20</v>
      </c>
      <c r="G54" s="219">
        <f t="shared" si="16"/>
        <v>200</v>
      </c>
      <c r="H54" s="218">
        <f t="shared" si="17"/>
        <v>40</v>
      </c>
    </row>
    <row r="55" spans="1:8" ht="26.4" x14ac:dyDescent="0.3">
      <c r="A55" s="220" t="s">
        <v>250</v>
      </c>
      <c r="B55" s="220"/>
      <c r="C55" s="266"/>
      <c r="D55" s="266"/>
      <c r="E55" s="220"/>
      <c r="F55" s="165">
        <f>SUM(F48:F54)</f>
        <v>109</v>
      </c>
      <c r="G55" s="164">
        <f>SUM(G48:G54)</f>
        <v>513</v>
      </c>
      <c r="H55" s="164">
        <f>SUM(H48:H54)</f>
        <v>102.6</v>
      </c>
    </row>
    <row r="57" spans="1:8" x14ac:dyDescent="0.3">
      <c r="A57" s="268" t="s">
        <v>348</v>
      </c>
      <c r="B57" s="269"/>
      <c r="C57" s="269"/>
      <c r="D57" s="269"/>
      <c r="E57" s="269"/>
      <c r="F57" s="269"/>
      <c r="G57" s="269"/>
      <c r="H57" s="270"/>
    </row>
    <row r="58" spans="1:8" x14ac:dyDescent="0.3">
      <c r="A58" s="268" t="s">
        <v>211</v>
      </c>
      <c r="B58" s="269"/>
      <c r="C58" s="269"/>
      <c r="D58" s="269"/>
      <c r="E58" s="269"/>
      <c r="F58" s="269"/>
      <c r="G58" s="269"/>
      <c r="H58" s="270"/>
    </row>
    <row r="59" spans="1:8" ht="26.4" x14ac:dyDescent="0.3">
      <c r="A59" s="218" t="s">
        <v>1</v>
      </c>
      <c r="B59" s="218" t="s">
        <v>210</v>
      </c>
      <c r="C59" s="271" t="s">
        <v>212</v>
      </c>
      <c r="D59" s="271"/>
      <c r="E59" s="218" t="s">
        <v>213</v>
      </c>
      <c r="F59" s="218" t="s">
        <v>214</v>
      </c>
      <c r="G59" s="218" t="s">
        <v>215</v>
      </c>
      <c r="H59" s="218" t="s">
        <v>216</v>
      </c>
    </row>
    <row r="60" spans="1:8" x14ac:dyDescent="0.3">
      <c r="A60" s="220" t="s">
        <v>221</v>
      </c>
      <c r="B60" s="218">
        <v>1</v>
      </c>
      <c r="C60" s="267">
        <v>3</v>
      </c>
      <c r="D60" s="267"/>
      <c r="E60" s="219">
        <v>3</v>
      </c>
      <c r="F60" s="218">
        <v>5</v>
      </c>
      <c r="G60" s="219">
        <f>B60*F60</f>
        <v>5</v>
      </c>
      <c r="H60" s="218">
        <f>G60/5</f>
        <v>1</v>
      </c>
    </row>
    <row r="61" spans="1:8" x14ac:dyDescent="0.3">
      <c r="A61" s="220" t="s">
        <v>222</v>
      </c>
      <c r="B61" s="218">
        <v>2</v>
      </c>
      <c r="C61" s="267">
        <v>3</v>
      </c>
      <c r="D61" s="267"/>
      <c r="E61" s="219">
        <v>3</v>
      </c>
      <c r="F61" s="218">
        <v>12</v>
      </c>
      <c r="G61" s="219">
        <f t="shared" ref="G61:G64" si="18">B61*F61</f>
        <v>24</v>
      </c>
      <c r="H61" s="218">
        <f t="shared" ref="H61:H64" si="19">G61/5</f>
        <v>4.8</v>
      </c>
    </row>
    <row r="62" spans="1:8" x14ac:dyDescent="0.3">
      <c r="A62" s="220" t="s">
        <v>223</v>
      </c>
      <c r="B62" s="218">
        <v>3</v>
      </c>
      <c r="C62" s="267">
        <v>3</v>
      </c>
      <c r="D62" s="267"/>
      <c r="E62" s="219">
        <v>3</v>
      </c>
      <c r="F62" s="218">
        <v>8</v>
      </c>
      <c r="G62" s="219">
        <f t="shared" si="18"/>
        <v>24</v>
      </c>
      <c r="H62" s="218">
        <f t="shared" si="19"/>
        <v>4.8</v>
      </c>
    </row>
    <row r="63" spans="1:8" x14ac:dyDescent="0.3">
      <c r="A63" s="220" t="s">
        <v>224</v>
      </c>
      <c r="B63" s="218">
        <v>4</v>
      </c>
      <c r="C63" s="267">
        <v>3</v>
      </c>
      <c r="D63" s="267"/>
      <c r="E63" s="219">
        <v>3</v>
      </c>
      <c r="F63" s="218">
        <v>14</v>
      </c>
      <c r="G63" s="219">
        <f t="shared" si="18"/>
        <v>56</v>
      </c>
      <c r="H63" s="218">
        <f t="shared" si="19"/>
        <v>11.2</v>
      </c>
    </row>
    <row r="64" spans="1:8" x14ac:dyDescent="0.3">
      <c r="A64" s="220" t="s">
        <v>227</v>
      </c>
      <c r="B64" s="218">
        <v>7</v>
      </c>
      <c r="C64" s="267">
        <v>3</v>
      </c>
      <c r="D64" s="267"/>
      <c r="E64" s="219">
        <v>3</v>
      </c>
      <c r="F64" s="218">
        <v>1</v>
      </c>
      <c r="G64" s="219">
        <f t="shared" si="18"/>
        <v>7</v>
      </c>
      <c r="H64" s="218">
        <f t="shared" si="19"/>
        <v>1.4</v>
      </c>
    </row>
    <row r="65" spans="1:8" ht="26.4" x14ac:dyDescent="0.3">
      <c r="A65" s="220" t="s">
        <v>250</v>
      </c>
      <c r="B65" s="220"/>
      <c r="C65" s="266"/>
      <c r="D65" s="266"/>
      <c r="E65" s="220"/>
      <c r="F65" s="165">
        <f>SUM(F60:F64)</f>
        <v>40</v>
      </c>
      <c r="G65" s="164">
        <f>SUM(G60:G64)</f>
        <v>116</v>
      </c>
      <c r="H65" s="164">
        <f>SUM(H60:H64)</f>
        <v>23.199999999999996</v>
      </c>
    </row>
    <row r="67" spans="1:8" x14ac:dyDescent="0.3">
      <c r="A67" s="268" t="s">
        <v>345</v>
      </c>
      <c r="B67" s="269"/>
      <c r="C67" s="269"/>
      <c r="D67" s="269"/>
      <c r="E67" s="269"/>
      <c r="F67" s="269"/>
      <c r="G67" s="269"/>
      <c r="H67" s="270"/>
    </row>
    <row r="68" spans="1:8" x14ac:dyDescent="0.3">
      <c r="A68" s="268" t="s">
        <v>211</v>
      </c>
      <c r="B68" s="269"/>
      <c r="C68" s="269"/>
      <c r="D68" s="269"/>
      <c r="E68" s="269"/>
      <c r="F68" s="269"/>
      <c r="G68" s="269"/>
      <c r="H68" s="270"/>
    </row>
    <row r="69" spans="1:8" ht="26.4" x14ac:dyDescent="0.3">
      <c r="A69" s="218" t="s">
        <v>1</v>
      </c>
      <c r="B69" s="218" t="s">
        <v>210</v>
      </c>
      <c r="C69" s="271" t="s">
        <v>212</v>
      </c>
      <c r="D69" s="271"/>
      <c r="E69" s="218" t="s">
        <v>213</v>
      </c>
      <c r="F69" s="218" t="s">
        <v>214</v>
      </c>
      <c r="G69" s="218" t="s">
        <v>215</v>
      </c>
      <c r="H69" s="218" t="s">
        <v>216</v>
      </c>
    </row>
    <row r="70" spans="1:8" x14ac:dyDescent="0.3">
      <c r="A70" s="220" t="s">
        <v>221</v>
      </c>
      <c r="B70" s="218">
        <v>1</v>
      </c>
      <c r="C70" s="267">
        <v>3</v>
      </c>
      <c r="D70" s="267"/>
      <c r="E70" s="219">
        <v>3</v>
      </c>
      <c r="F70" s="218">
        <v>3</v>
      </c>
      <c r="G70" s="219">
        <f>B70*F70</f>
        <v>3</v>
      </c>
      <c r="H70" s="218">
        <f>G70/5</f>
        <v>0.6</v>
      </c>
    </row>
    <row r="71" spans="1:8" x14ac:dyDescent="0.3">
      <c r="A71" s="220" t="s">
        <v>222</v>
      </c>
      <c r="B71" s="218">
        <v>2</v>
      </c>
      <c r="C71" s="267">
        <v>3</v>
      </c>
      <c r="D71" s="267"/>
      <c r="E71" s="219">
        <v>3</v>
      </c>
      <c r="F71" s="218">
        <v>8</v>
      </c>
      <c r="G71" s="219">
        <f t="shared" ref="G71" si="20">B71*F71</f>
        <v>16</v>
      </c>
      <c r="H71" s="218">
        <f t="shared" ref="H71" si="21">G71/5</f>
        <v>3.2</v>
      </c>
    </row>
    <row r="72" spans="1:8" x14ac:dyDescent="0.3">
      <c r="A72" s="220" t="s">
        <v>223</v>
      </c>
      <c r="B72" s="218">
        <v>3</v>
      </c>
      <c r="C72" s="267">
        <v>3</v>
      </c>
      <c r="D72" s="267"/>
      <c r="E72" s="219">
        <v>3</v>
      </c>
      <c r="F72" s="218">
        <v>6</v>
      </c>
      <c r="G72" s="219">
        <f t="shared" ref="G72:G77" si="22">B72*F72</f>
        <v>18</v>
      </c>
      <c r="H72" s="218">
        <f t="shared" ref="H72:H77" si="23">G72/5</f>
        <v>3.6</v>
      </c>
    </row>
    <row r="73" spans="1:8" x14ac:dyDescent="0.3">
      <c r="A73" s="220" t="s">
        <v>224</v>
      </c>
      <c r="B73" s="218">
        <v>4</v>
      </c>
      <c r="C73" s="267">
        <v>3</v>
      </c>
      <c r="D73" s="267"/>
      <c r="E73" s="219">
        <v>3</v>
      </c>
      <c r="F73" s="218">
        <v>5</v>
      </c>
      <c r="G73" s="219">
        <f t="shared" si="22"/>
        <v>20</v>
      </c>
      <c r="H73" s="218">
        <f t="shared" si="23"/>
        <v>4</v>
      </c>
    </row>
    <row r="74" spans="1:8" x14ac:dyDescent="0.3">
      <c r="A74" s="220" t="s">
        <v>225</v>
      </c>
      <c r="B74" s="218">
        <v>5</v>
      </c>
      <c r="C74" s="267">
        <v>3</v>
      </c>
      <c r="D74" s="267"/>
      <c r="E74" s="219">
        <v>3</v>
      </c>
      <c r="F74" s="218">
        <v>10</v>
      </c>
      <c r="G74" s="219">
        <f t="shared" si="22"/>
        <v>50</v>
      </c>
      <c r="H74" s="218">
        <f t="shared" si="23"/>
        <v>10</v>
      </c>
    </row>
    <row r="75" spans="1:8" x14ac:dyDescent="0.3">
      <c r="A75" s="220" t="s">
        <v>226</v>
      </c>
      <c r="B75" s="218">
        <v>6</v>
      </c>
      <c r="C75" s="267">
        <v>3</v>
      </c>
      <c r="D75" s="267"/>
      <c r="E75" s="219">
        <v>3</v>
      </c>
      <c r="F75" s="218">
        <v>4</v>
      </c>
      <c r="G75" s="219">
        <f t="shared" si="22"/>
        <v>24</v>
      </c>
      <c r="H75" s="218">
        <f t="shared" si="23"/>
        <v>4.8</v>
      </c>
    </row>
    <row r="76" spans="1:8" x14ac:dyDescent="0.3">
      <c r="A76" s="220" t="s">
        <v>227</v>
      </c>
      <c r="B76" s="218">
        <v>7</v>
      </c>
      <c r="C76" s="267">
        <v>3</v>
      </c>
      <c r="D76" s="267"/>
      <c r="E76" s="219">
        <v>3</v>
      </c>
      <c r="F76" s="218">
        <v>2</v>
      </c>
      <c r="G76" s="219">
        <f t="shared" si="22"/>
        <v>14</v>
      </c>
      <c r="H76" s="218">
        <f t="shared" si="23"/>
        <v>2.8</v>
      </c>
    </row>
    <row r="77" spans="1:8" x14ac:dyDescent="0.3">
      <c r="A77" s="220" t="s">
        <v>228</v>
      </c>
      <c r="B77" s="218">
        <v>10</v>
      </c>
      <c r="C77" s="267">
        <v>3</v>
      </c>
      <c r="D77" s="267"/>
      <c r="E77" s="219">
        <v>3</v>
      </c>
      <c r="F77" s="218">
        <v>43</v>
      </c>
      <c r="G77" s="219">
        <f t="shared" si="22"/>
        <v>430</v>
      </c>
      <c r="H77" s="218">
        <f t="shared" si="23"/>
        <v>86</v>
      </c>
    </row>
    <row r="78" spans="1:8" ht="26.4" x14ac:dyDescent="0.3">
      <c r="A78" s="220" t="s">
        <v>250</v>
      </c>
      <c r="B78" s="220"/>
      <c r="C78" s="266"/>
      <c r="D78" s="266"/>
      <c r="E78" s="220"/>
      <c r="F78" s="165">
        <f>SUM(F70:F77)</f>
        <v>81</v>
      </c>
      <c r="G78" s="164">
        <f>SUM(G70:G77)</f>
        <v>575</v>
      </c>
      <c r="H78" s="164">
        <f>SUM(H70:H77)</f>
        <v>115</v>
      </c>
    </row>
    <row r="80" spans="1:8" x14ac:dyDescent="0.3">
      <c r="A80" s="268" t="s">
        <v>344</v>
      </c>
      <c r="B80" s="269"/>
      <c r="C80" s="269"/>
      <c r="D80" s="269"/>
      <c r="E80" s="269"/>
      <c r="F80" s="269"/>
      <c r="G80" s="269"/>
      <c r="H80" s="270"/>
    </row>
    <row r="81" spans="1:8" x14ac:dyDescent="0.3">
      <c r="A81" s="268" t="s">
        <v>211</v>
      </c>
      <c r="B81" s="269"/>
      <c r="C81" s="269"/>
      <c r="D81" s="269"/>
      <c r="E81" s="269"/>
      <c r="F81" s="269"/>
      <c r="G81" s="269"/>
      <c r="H81" s="270"/>
    </row>
    <row r="82" spans="1:8" ht="26.4" x14ac:dyDescent="0.3">
      <c r="A82" s="218" t="s">
        <v>1</v>
      </c>
      <c r="B82" s="218" t="s">
        <v>210</v>
      </c>
      <c r="C82" s="271" t="s">
        <v>212</v>
      </c>
      <c r="D82" s="271"/>
      <c r="E82" s="218" t="s">
        <v>213</v>
      </c>
      <c r="F82" s="218" t="s">
        <v>214</v>
      </c>
      <c r="G82" s="218" t="s">
        <v>215</v>
      </c>
      <c r="H82" s="218" t="s">
        <v>216</v>
      </c>
    </row>
    <row r="83" spans="1:8" x14ac:dyDescent="0.3">
      <c r="A83" s="220" t="s">
        <v>221</v>
      </c>
      <c r="B83" s="218">
        <v>4</v>
      </c>
      <c r="C83" s="267">
        <v>3</v>
      </c>
      <c r="D83" s="267"/>
      <c r="E83" s="219">
        <v>3</v>
      </c>
      <c r="F83" s="218">
        <v>3</v>
      </c>
      <c r="G83" s="219">
        <f>B83*F83</f>
        <v>12</v>
      </c>
      <c r="H83" s="218">
        <f>G83/5</f>
        <v>2.4</v>
      </c>
    </row>
    <row r="84" spans="1:8" x14ac:dyDescent="0.3">
      <c r="A84" s="220" t="s">
        <v>222</v>
      </c>
      <c r="B84" s="218">
        <v>8</v>
      </c>
      <c r="C84" s="267">
        <v>3</v>
      </c>
      <c r="D84" s="267"/>
      <c r="E84" s="219">
        <v>3</v>
      </c>
      <c r="F84" s="218">
        <v>1</v>
      </c>
      <c r="G84" s="219">
        <f t="shared" ref="G84:G85" si="24">B84*F84</f>
        <v>8</v>
      </c>
      <c r="H84" s="218">
        <f t="shared" ref="H84:H85" si="25">G84/5</f>
        <v>1.6</v>
      </c>
    </row>
    <row r="85" spans="1:8" x14ac:dyDescent="0.3">
      <c r="A85" s="220" t="s">
        <v>223</v>
      </c>
      <c r="B85" s="218">
        <v>10</v>
      </c>
      <c r="C85" s="267">
        <v>3</v>
      </c>
      <c r="D85" s="267"/>
      <c r="E85" s="219">
        <v>3</v>
      </c>
      <c r="F85" s="218">
        <v>1</v>
      </c>
      <c r="G85" s="219">
        <f t="shared" si="24"/>
        <v>10</v>
      </c>
      <c r="H85" s="218">
        <f t="shared" si="25"/>
        <v>2</v>
      </c>
    </row>
    <row r="86" spans="1:8" ht="26.4" x14ac:dyDescent="0.3">
      <c r="A86" s="220" t="s">
        <v>250</v>
      </c>
      <c r="B86" s="220"/>
      <c r="C86" s="266"/>
      <c r="D86" s="266"/>
      <c r="E86" s="220"/>
      <c r="F86" s="165">
        <f>SUM(F83:F85)</f>
        <v>5</v>
      </c>
      <c r="G86" s="164">
        <f>SUM(G83:G85)</f>
        <v>30</v>
      </c>
      <c r="H86" s="164">
        <f>SUM(H83:H85)</f>
        <v>6</v>
      </c>
    </row>
  </sheetData>
  <mergeCells count="78">
    <mergeCell ref="E1:F1"/>
    <mergeCell ref="E2:F2"/>
    <mergeCell ref="E3:F3"/>
    <mergeCell ref="A12:H12"/>
    <mergeCell ref="A13:H13"/>
    <mergeCell ref="E10:F10"/>
    <mergeCell ref="E4:F4"/>
    <mergeCell ref="E5:F5"/>
    <mergeCell ref="E7:F7"/>
    <mergeCell ref="E8:F8"/>
    <mergeCell ref="E9:F9"/>
    <mergeCell ref="E6:F6"/>
    <mergeCell ref="C14:D14"/>
    <mergeCell ref="C15:D15"/>
    <mergeCell ref="C16:D16"/>
    <mergeCell ref="C17:D17"/>
    <mergeCell ref="A19:H19"/>
    <mergeCell ref="A20:H20"/>
    <mergeCell ref="C21:D21"/>
    <mergeCell ref="C22:D22"/>
    <mergeCell ref="C23:D23"/>
    <mergeCell ref="C24:D24"/>
    <mergeCell ref="A26:H26"/>
    <mergeCell ref="A27:H27"/>
    <mergeCell ref="C28:D28"/>
    <mergeCell ref="C29:D29"/>
    <mergeCell ref="C30:D30"/>
    <mergeCell ref="C31:D31"/>
    <mergeCell ref="A80:H80"/>
    <mergeCell ref="A81:H81"/>
    <mergeCell ref="C82:D82"/>
    <mergeCell ref="C83:D83"/>
    <mergeCell ref="A33:H33"/>
    <mergeCell ref="A34:H34"/>
    <mergeCell ref="C35:D35"/>
    <mergeCell ref="A68:H68"/>
    <mergeCell ref="C69:D69"/>
    <mergeCell ref="C70:D70"/>
    <mergeCell ref="C71:D71"/>
    <mergeCell ref="A67:H67"/>
    <mergeCell ref="C47:D47"/>
    <mergeCell ref="C36:D36"/>
    <mergeCell ref="C37:D37"/>
    <mergeCell ref="C84:D84"/>
    <mergeCell ref="C85:D85"/>
    <mergeCell ref="C86:D86"/>
    <mergeCell ref="C78:D78"/>
    <mergeCell ref="C72:D72"/>
    <mergeCell ref="C73:D73"/>
    <mergeCell ref="C74:D74"/>
    <mergeCell ref="C75:D75"/>
    <mergeCell ref="C76:D76"/>
    <mergeCell ref="C77:D77"/>
    <mergeCell ref="C38:D38"/>
    <mergeCell ref="C39:D39"/>
    <mergeCell ref="C40:D40"/>
    <mergeCell ref="C41:D41"/>
    <mergeCell ref="C42:D42"/>
    <mergeCell ref="C43:D43"/>
    <mergeCell ref="A45:H45"/>
    <mergeCell ref="A46:H46"/>
    <mergeCell ref="C55:D55"/>
    <mergeCell ref="C52:D52"/>
    <mergeCell ref="C53:D53"/>
    <mergeCell ref="C54:D54"/>
    <mergeCell ref="C48:D48"/>
    <mergeCell ref="C49:D49"/>
    <mergeCell ref="C50:D50"/>
    <mergeCell ref="C51:D51"/>
    <mergeCell ref="C65:D65"/>
    <mergeCell ref="C63:D63"/>
    <mergeCell ref="C64:D64"/>
    <mergeCell ref="A57:H57"/>
    <mergeCell ref="A58:H58"/>
    <mergeCell ref="C59:D59"/>
    <mergeCell ref="C60:D60"/>
    <mergeCell ref="C61:D61"/>
    <mergeCell ref="C62:D6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zoomScale="85" zoomScaleNormal="85" workbookViewId="0">
      <selection activeCell="D9" sqref="D9:F9"/>
    </sheetView>
  </sheetViews>
  <sheetFormatPr defaultRowHeight="14.4" x14ac:dyDescent="0.3"/>
  <cols>
    <col min="1" max="1" width="7.44140625" style="206" bestFit="1" customWidth="1"/>
    <col min="2" max="2" width="9.88671875" style="206" customWidth="1"/>
    <col min="3" max="3" width="15.109375" style="140" customWidth="1"/>
    <col min="4" max="4" width="7.109375" style="140" customWidth="1"/>
    <col min="5" max="5" width="7.6640625" style="140" customWidth="1"/>
    <col min="6" max="6" width="4.5546875" style="140" customWidth="1"/>
    <col min="7" max="7" width="21.109375" style="140" customWidth="1"/>
    <col min="8" max="8" width="7.5546875" style="140" customWidth="1"/>
    <col min="9" max="9" width="9" style="140" customWidth="1"/>
    <col min="10" max="16384" width="8.88671875" style="140"/>
  </cols>
  <sheetData>
    <row r="1" spans="1:9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</row>
    <row r="2" spans="1:9" s="153" customFormat="1" ht="31.2" x14ac:dyDescent="0.3">
      <c r="A2" s="141" t="s">
        <v>0</v>
      </c>
      <c r="B2" s="279" t="s">
        <v>1</v>
      </c>
      <c r="C2" s="279"/>
      <c r="D2" s="279"/>
      <c r="E2" s="279"/>
      <c r="F2" s="280"/>
      <c r="G2" s="208" t="s">
        <v>175</v>
      </c>
      <c r="H2" s="142" t="s">
        <v>15</v>
      </c>
      <c r="I2" s="152" t="s">
        <v>8</v>
      </c>
    </row>
    <row r="3" spans="1:9" ht="66.599999999999994" customHeight="1" x14ac:dyDescent="0.3">
      <c r="A3" s="207">
        <v>1</v>
      </c>
      <c r="B3" s="258" t="s">
        <v>336</v>
      </c>
      <c r="C3" s="258"/>
      <c r="D3" s="258"/>
      <c r="E3" s="258"/>
      <c r="F3" s="281"/>
      <c r="G3" s="209" t="s">
        <v>337</v>
      </c>
      <c r="H3" s="207" t="s">
        <v>82</v>
      </c>
      <c r="I3" s="144">
        <f>G14</f>
        <v>883.75699999999995</v>
      </c>
    </row>
    <row r="4" spans="1:9" ht="29.4" customHeight="1" x14ac:dyDescent="0.3">
      <c r="A4" s="207">
        <v>2</v>
      </c>
      <c r="B4" s="258" t="s">
        <v>340</v>
      </c>
      <c r="C4" s="258"/>
      <c r="D4" s="258"/>
      <c r="E4" s="258"/>
      <c r="F4" s="281"/>
      <c r="G4" s="209" t="s">
        <v>338</v>
      </c>
      <c r="H4" s="207" t="s">
        <v>82</v>
      </c>
      <c r="I4" s="144">
        <f>I3</f>
        <v>883.75699999999995</v>
      </c>
    </row>
    <row r="5" spans="1:9" ht="29.4" customHeight="1" x14ac:dyDescent="0.3">
      <c r="A5" s="207">
        <v>3</v>
      </c>
      <c r="B5" s="258" t="s">
        <v>340</v>
      </c>
      <c r="C5" s="258"/>
      <c r="D5" s="258"/>
      <c r="E5" s="258"/>
      <c r="F5" s="281"/>
      <c r="G5" s="209" t="s">
        <v>339</v>
      </c>
      <c r="H5" s="207" t="s">
        <v>82</v>
      </c>
      <c r="I5" s="144">
        <f>I4</f>
        <v>883.75699999999995</v>
      </c>
    </row>
    <row r="6" spans="1:9" ht="15.6" x14ac:dyDescent="0.3">
      <c r="A6" s="259"/>
      <c r="B6" s="259"/>
      <c r="C6" s="259"/>
      <c r="D6" s="259"/>
      <c r="E6" s="259"/>
      <c r="F6" s="259"/>
      <c r="G6" s="259"/>
      <c r="H6" s="259"/>
      <c r="I6" s="259"/>
    </row>
    <row r="7" spans="1:9" ht="31.2" x14ac:dyDescent="0.3">
      <c r="A7" s="169" t="s">
        <v>201</v>
      </c>
      <c r="B7" s="169" t="s">
        <v>333</v>
      </c>
      <c r="C7" s="169" t="s">
        <v>341</v>
      </c>
      <c r="D7" s="282" t="s">
        <v>343</v>
      </c>
      <c r="E7" s="282"/>
      <c r="F7" s="282"/>
      <c r="G7" s="169" t="s">
        <v>342</v>
      </c>
      <c r="H7" s="276"/>
      <c r="I7" s="261"/>
    </row>
    <row r="8" spans="1:9" ht="15.6" customHeight="1" x14ac:dyDescent="0.3">
      <c r="A8" s="158">
        <v>1</v>
      </c>
      <c r="B8" s="213" t="s">
        <v>334</v>
      </c>
      <c r="C8" s="149">
        <f>3.7*(61.12-16)</f>
        <v>166.94399999999999</v>
      </c>
      <c r="D8" s="283">
        <v>0</v>
      </c>
      <c r="E8" s="283"/>
      <c r="F8" s="283"/>
      <c r="G8" s="217">
        <f>SUM(C8:F8)</f>
        <v>166.94399999999999</v>
      </c>
      <c r="H8" s="276"/>
      <c r="I8" s="261"/>
    </row>
    <row r="9" spans="1:9" ht="15.6" customHeight="1" x14ac:dyDescent="0.3">
      <c r="A9" s="159">
        <v>2</v>
      </c>
      <c r="B9" s="214" t="s">
        <v>334</v>
      </c>
      <c r="C9" s="150">
        <f>3.7*31.76</f>
        <v>117.51200000000001</v>
      </c>
      <c r="D9" s="284">
        <f>11.8*8</f>
        <v>94.4</v>
      </c>
      <c r="E9" s="284"/>
      <c r="F9" s="284"/>
      <c r="G9" s="217">
        <f t="shared" ref="G9:G13" si="0">SUM(C9:F9)</f>
        <v>211.91200000000003</v>
      </c>
      <c r="H9" s="276"/>
      <c r="I9" s="261"/>
    </row>
    <row r="10" spans="1:9" ht="15.6" customHeight="1" x14ac:dyDescent="0.3">
      <c r="A10" s="158">
        <v>2</v>
      </c>
      <c r="B10" s="213" t="s">
        <v>335</v>
      </c>
      <c r="C10" s="149">
        <f>1.7*3.8</f>
        <v>6.46</v>
      </c>
      <c r="D10" s="283">
        <f>7.6*43.73</f>
        <v>332.34799999999996</v>
      </c>
      <c r="E10" s="283"/>
      <c r="F10" s="283"/>
      <c r="G10" s="217">
        <f t="shared" si="0"/>
        <v>338.80799999999994</v>
      </c>
      <c r="H10" s="276"/>
      <c r="I10" s="261"/>
    </row>
    <row r="11" spans="1:9" ht="15.6" customHeight="1" x14ac:dyDescent="0.3">
      <c r="A11" s="158">
        <v>3</v>
      </c>
      <c r="B11" s="213">
        <v>1</v>
      </c>
      <c r="C11" s="149">
        <f>3.7*2.09</f>
        <v>7.7329999999999997</v>
      </c>
      <c r="D11" s="283">
        <v>0</v>
      </c>
      <c r="E11" s="283"/>
      <c r="F11" s="283"/>
      <c r="G11" s="217">
        <f t="shared" si="0"/>
        <v>7.7329999999999997</v>
      </c>
      <c r="H11" s="276"/>
      <c r="I11" s="261"/>
    </row>
    <row r="12" spans="1:9" ht="15.6" customHeight="1" x14ac:dyDescent="0.3">
      <c r="A12" s="159">
        <v>3</v>
      </c>
      <c r="B12" s="214" t="s">
        <v>334</v>
      </c>
      <c r="C12" s="150">
        <f>3.7*41.2</f>
        <v>152.44000000000003</v>
      </c>
      <c r="D12" s="284">
        <v>0</v>
      </c>
      <c r="E12" s="284"/>
      <c r="F12" s="284"/>
      <c r="G12" s="217">
        <f t="shared" si="0"/>
        <v>152.44000000000003</v>
      </c>
      <c r="H12" s="276"/>
      <c r="I12" s="261"/>
    </row>
    <row r="13" spans="1:9" ht="15.6" customHeight="1" x14ac:dyDescent="0.3">
      <c r="A13" s="158">
        <v>3</v>
      </c>
      <c r="B13" s="213" t="s">
        <v>335</v>
      </c>
      <c r="C13" s="149">
        <f>3.7*1.6</f>
        <v>5.9200000000000008</v>
      </c>
      <c r="D13" s="283">
        <v>0</v>
      </c>
      <c r="E13" s="283"/>
      <c r="F13" s="283"/>
      <c r="G13" s="217">
        <f t="shared" si="0"/>
        <v>5.9200000000000008</v>
      </c>
      <c r="H13" s="276"/>
      <c r="I13" s="261"/>
    </row>
    <row r="14" spans="1:9" x14ac:dyDescent="0.3">
      <c r="A14" s="216"/>
      <c r="B14" s="215" t="s">
        <v>3</v>
      </c>
      <c r="C14" s="155">
        <f>SUM(C8:C13)</f>
        <v>457.00900000000007</v>
      </c>
      <c r="D14" s="285">
        <f>SUM(D8:D13)</f>
        <v>426.74799999999993</v>
      </c>
      <c r="E14" s="285"/>
      <c r="F14" s="285"/>
      <c r="G14" s="155">
        <f>SUM(G8:G13)</f>
        <v>883.75699999999995</v>
      </c>
      <c r="H14" s="276"/>
      <c r="I14" s="261"/>
    </row>
  </sheetData>
  <mergeCells count="15">
    <mergeCell ref="H7:I14"/>
    <mergeCell ref="A1:I1"/>
    <mergeCell ref="B2:F2"/>
    <mergeCell ref="B4:F4"/>
    <mergeCell ref="B5:F5"/>
    <mergeCell ref="A6:I6"/>
    <mergeCell ref="B3:F3"/>
    <mergeCell ref="D7:F7"/>
    <mergeCell ref="D8:F8"/>
    <mergeCell ref="D9:F9"/>
    <mergeCell ref="D10:F10"/>
    <mergeCell ref="D11:F11"/>
    <mergeCell ref="D12:F12"/>
    <mergeCell ref="D13:F13"/>
    <mergeCell ref="D14:F1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2" zoomScale="70" zoomScaleNormal="70" workbookViewId="0">
      <selection activeCell="I10" sqref="I10"/>
    </sheetView>
  </sheetViews>
  <sheetFormatPr defaultRowHeight="14.4" x14ac:dyDescent="0.3"/>
  <cols>
    <col min="1" max="1" width="7.21875" style="140" customWidth="1"/>
    <col min="2" max="2" width="9.77734375" style="140" customWidth="1"/>
    <col min="3" max="4" width="12.109375" style="140" bestFit="1" customWidth="1"/>
    <col min="5" max="5" width="50.77734375" style="140" customWidth="1"/>
    <col min="6" max="6" width="7.5546875" style="140" customWidth="1"/>
    <col min="7" max="7" width="9" style="140" customWidth="1"/>
    <col min="8" max="16384" width="8.88671875" style="140"/>
  </cols>
  <sheetData>
    <row r="1" spans="1:7" ht="15.6" x14ac:dyDescent="0.3">
      <c r="A1" s="286" t="s">
        <v>316</v>
      </c>
      <c r="B1" s="286"/>
      <c r="C1" s="286"/>
      <c r="D1" s="286"/>
      <c r="E1" s="286"/>
      <c r="F1" s="286"/>
      <c r="G1" s="286"/>
    </row>
    <row r="2" spans="1:7" s="153" customFormat="1" ht="31.2" x14ac:dyDescent="0.3">
      <c r="A2" s="141" t="s">
        <v>0</v>
      </c>
      <c r="B2" s="290" t="s">
        <v>1</v>
      </c>
      <c r="C2" s="279"/>
      <c r="D2" s="279"/>
      <c r="E2" s="280"/>
      <c r="F2" s="142" t="s">
        <v>15</v>
      </c>
      <c r="G2" s="152" t="s">
        <v>8</v>
      </c>
    </row>
    <row r="3" spans="1:7" ht="31.2" customHeight="1" x14ac:dyDescent="0.3">
      <c r="A3" s="205">
        <v>1</v>
      </c>
      <c r="B3" s="291" t="s">
        <v>328</v>
      </c>
      <c r="C3" s="258"/>
      <c r="D3" s="258"/>
      <c r="E3" s="281"/>
      <c r="F3" s="205" t="s">
        <v>82</v>
      </c>
      <c r="G3" s="144">
        <v>130.30000000000001</v>
      </c>
    </row>
    <row r="4" spans="1:7" ht="46.8" customHeight="1" x14ac:dyDescent="0.3">
      <c r="A4" s="205">
        <v>2</v>
      </c>
      <c r="B4" s="291" t="s">
        <v>329</v>
      </c>
      <c r="C4" s="258"/>
      <c r="D4" s="258"/>
      <c r="E4" s="281"/>
      <c r="F4" s="205" t="s">
        <v>82</v>
      </c>
      <c r="G4" s="144">
        <f>D38</f>
        <v>187.8689</v>
      </c>
    </row>
    <row r="5" spans="1:7" ht="46.8" customHeight="1" x14ac:dyDescent="0.3">
      <c r="A5" s="205">
        <v>3</v>
      </c>
      <c r="B5" s="291" t="s">
        <v>330</v>
      </c>
      <c r="C5" s="258"/>
      <c r="D5" s="258"/>
      <c r="E5" s="281"/>
      <c r="F5" s="205" t="s">
        <v>82</v>
      </c>
      <c r="G5" s="144">
        <f>G4</f>
        <v>187.8689</v>
      </c>
    </row>
    <row r="6" spans="1:7" ht="15.6" x14ac:dyDescent="0.3">
      <c r="A6" s="205">
        <v>4</v>
      </c>
      <c r="B6" s="291" t="s">
        <v>327</v>
      </c>
      <c r="C6" s="258"/>
      <c r="D6" s="258"/>
      <c r="E6" s="281"/>
      <c r="F6" s="205" t="s">
        <v>82</v>
      </c>
      <c r="G6" s="144">
        <f>G4</f>
        <v>187.8689</v>
      </c>
    </row>
    <row r="7" spans="1:7" x14ac:dyDescent="0.3">
      <c r="A7" s="287"/>
      <c r="B7" s="287"/>
      <c r="C7" s="287"/>
      <c r="D7" s="287"/>
      <c r="E7" s="287"/>
      <c r="F7" s="287"/>
      <c r="G7" s="287"/>
    </row>
    <row r="8" spans="1:7" ht="15.6" x14ac:dyDescent="0.3">
      <c r="A8" s="204" t="s">
        <v>0</v>
      </c>
      <c r="B8" s="204" t="s">
        <v>256</v>
      </c>
      <c r="C8" s="204" t="s">
        <v>331</v>
      </c>
      <c r="D8" s="204" t="s">
        <v>257</v>
      </c>
      <c r="E8" s="288"/>
      <c r="F8" s="288"/>
      <c r="G8" s="288"/>
    </row>
    <row r="9" spans="1:7" ht="15.6" x14ac:dyDescent="0.3">
      <c r="A9" s="204">
        <v>1</v>
      </c>
      <c r="B9" s="204" t="s">
        <v>181</v>
      </c>
      <c r="C9" s="211">
        <v>15</v>
      </c>
      <c r="D9" s="211">
        <f>C9*0.5+C9*0.1+C9*0.08</f>
        <v>10.199999999999999</v>
      </c>
      <c r="E9" s="288"/>
      <c r="F9" s="288"/>
      <c r="G9" s="288"/>
    </row>
    <row r="10" spans="1:7" ht="15.6" x14ac:dyDescent="0.3">
      <c r="A10" s="204">
        <v>2</v>
      </c>
      <c r="B10" s="204" t="s">
        <v>182</v>
      </c>
      <c r="C10" s="212">
        <v>9.07</v>
      </c>
      <c r="D10" s="211">
        <f t="shared" ref="D10:D24" si="0">C10*0.5+C10*0.1+C10*0.08</f>
        <v>6.1676000000000002</v>
      </c>
      <c r="E10" s="288"/>
      <c r="F10" s="288"/>
      <c r="G10" s="288"/>
    </row>
    <row r="11" spans="1:7" ht="15.6" x14ac:dyDescent="0.3">
      <c r="A11" s="204">
        <v>3</v>
      </c>
      <c r="B11" s="204" t="s">
        <v>183</v>
      </c>
      <c r="C11" s="212">
        <v>9.09</v>
      </c>
      <c r="D11" s="211">
        <f t="shared" si="0"/>
        <v>6.1811999999999996</v>
      </c>
      <c r="E11" s="288"/>
      <c r="F11" s="288"/>
      <c r="G11" s="288"/>
    </row>
    <row r="12" spans="1:7" ht="15.6" x14ac:dyDescent="0.3">
      <c r="A12" s="204">
        <v>4</v>
      </c>
      <c r="B12" s="210" t="s">
        <v>184</v>
      </c>
      <c r="C12" s="212">
        <v>9.1</v>
      </c>
      <c r="D12" s="211">
        <f t="shared" si="0"/>
        <v>6.1879999999999997</v>
      </c>
      <c r="E12" s="288"/>
      <c r="F12" s="288"/>
      <c r="G12" s="288"/>
    </row>
    <row r="13" spans="1:7" ht="15.6" x14ac:dyDescent="0.3">
      <c r="A13" s="204">
        <v>5</v>
      </c>
      <c r="B13" s="204" t="s">
        <v>178</v>
      </c>
      <c r="C13" s="212">
        <v>9.1</v>
      </c>
      <c r="D13" s="211">
        <f t="shared" si="0"/>
        <v>6.1879999999999997</v>
      </c>
      <c r="E13" s="288"/>
      <c r="F13" s="288"/>
      <c r="G13" s="288"/>
    </row>
    <row r="14" spans="1:7" ht="15.6" x14ac:dyDescent="0.3">
      <c r="A14" s="204">
        <v>6</v>
      </c>
      <c r="B14" s="204" t="s">
        <v>185</v>
      </c>
      <c r="C14" s="212">
        <v>9.1</v>
      </c>
      <c r="D14" s="211">
        <f t="shared" si="0"/>
        <v>6.1879999999999997</v>
      </c>
      <c r="E14" s="288"/>
      <c r="F14" s="288"/>
      <c r="G14" s="288"/>
    </row>
    <row r="15" spans="1:7" ht="15.6" x14ac:dyDescent="0.3">
      <c r="A15" s="204">
        <v>7</v>
      </c>
      <c r="B15" s="204" t="s">
        <v>179</v>
      </c>
      <c r="C15" s="211">
        <f>8.9+9.3</f>
        <v>18.200000000000003</v>
      </c>
      <c r="D15" s="211">
        <f t="shared" si="0"/>
        <v>12.376000000000001</v>
      </c>
      <c r="E15" s="288"/>
      <c r="F15" s="288"/>
      <c r="G15" s="288"/>
    </row>
    <row r="16" spans="1:7" ht="15.6" x14ac:dyDescent="0.3">
      <c r="A16" s="204">
        <v>8</v>
      </c>
      <c r="B16" s="204" t="s">
        <v>332</v>
      </c>
      <c r="C16" s="211">
        <v>8.9</v>
      </c>
      <c r="D16" s="211">
        <f t="shared" si="0"/>
        <v>6.0519999999999996</v>
      </c>
      <c r="E16" s="288"/>
      <c r="F16" s="288"/>
      <c r="G16" s="288"/>
    </row>
    <row r="17" spans="1:7" ht="15.6" x14ac:dyDescent="0.3">
      <c r="A17" s="204">
        <v>9</v>
      </c>
      <c r="B17" s="204" t="s">
        <v>130</v>
      </c>
      <c r="C17" s="211">
        <v>2.34</v>
      </c>
      <c r="D17" s="211">
        <f t="shared" si="0"/>
        <v>1.5911999999999999</v>
      </c>
      <c r="E17" s="288"/>
      <c r="F17" s="288"/>
      <c r="G17" s="288"/>
    </row>
    <row r="18" spans="1:7" ht="15.6" x14ac:dyDescent="0.3">
      <c r="A18" s="204">
        <v>10</v>
      </c>
      <c r="B18" s="204" t="s">
        <v>131</v>
      </c>
      <c r="C18" s="211">
        <v>3.04</v>
      </c>
      <c r="D18" s="211">
        <f t="shared" si="0"/>
        <v>2.0672000000000001</v>
      </c>
      <c r="E18" s="288"/>
      <c r="F18" s="288"/>
      <c r="G18" s="288"/>
    </row>
    <row r="19" spans="1:7" ht="15.6" x14ac:dyDescent="0.3">
      <c r="A19" s="204">
        <v>11</v>
      </c>
      <c r="B19" s="204" t="s">
        <v>21</v>
      </c>
      <c r="C19" s="211">
        <v>9.8000000000000007</v>
      </c>
      <c r="D19" s="211">
        <f t="shared" si="0"/>
        <v>6.6640000000000006</v>
      </c>
      <c r="E19" s="288"/>
      <c r="F19" s="288"/>
      <c r="G19" s="288"/>
    </row>
    <row r="20" spans="1:7" ht="15.6" x14ac:dyDescent="0.3">
      <c r="A20" s="204">
        <v>12</v>
      </c>
      <c r="B20" s="204" t="s">
        <v>22</v>
      </c>
      <c r="C20" s="211">
        <v>9.6</v>
      </c>
      <c r="D20" s="211">
        <f t="shared" si="0"/>
        <v>6.5279999999999996</v>
      </c>
      <c r="E20" s="288"/>
      <c r="F20" s="288"/>
      <c r="G20" s="288"/>
    </row>
    <row r="21" spans="1:7" ht="15.6" x14ac:dyDescent="0.3">
      <c r="A21" s="204">
        <v>13</v>
      </c>
      <c r="B21" s="204" t="s">
        <v>23</v>
      </c>
      <c r="C21" s="211">
        <v>9.08</v>
      </c>
      <c r="D21" s="211">
        <f t="shared" si="0"/>
        <v>6.1744000000000003</v>
      </c>
      <c r="E21" s="288"/>
      <c r="F21" s="288"/>
      <c r="G21" s="288"/>
    </row>
    <row r="22" spans="1:7" ht="15.6" x14ac:dyDescent="0.3">
      <c r="A22" s="204">
        <v>14</v>
      </c>
      <c r="B22" s="204" t="s">
        <v>26</v>
      </c>
      <c r="C22" s="211">
        <v>9.09</v>
      </c>
      <c r="D22" s="211">
        <f t="shared" si="0"/>
        <v>6.1811999999999996</v>
      </c>
      <c r="E22" s="288"/>
      <c r="F22" s="288"/>
      <c r="G22" s="288"/>
    </row>
    <row r="23" spans="1:7" ht="15.6" x14ac:dyDescent="0.3">
      <c r="A23" s="204">
        <v>15</v>
      </c>
      <c r="B23" s="204" t="s">
        <v>27</v>
      </c>
      <c r="C23" s="211">
        <v>9.1</v>
      </c>
      <c r="D23" s="211">
        <f t="shared" si="0"/>
        <v>6.1879999999999997</v>
      </c>
      <c r="E23" s="288"/>
      <c r="F23" s="288"/>
      <c r="G23" s="288"/>
    </row>
    <row r="24" spans="1:7" ht="15.6" x14ac:dyDescent="0.3">
      <c r="A24" s="204">
        <v>16</v>
      </c>
      <c r="B24" s="204" t="s">
        <v>28</v>
      </c>
      <c r="C24" s="211">
        <v>9.1</v>
      </c>
      <c r="D24" s="211">
        <f t="shared" si="0"/>
        <v>6.1879999999999997</v>
      </c>
      <c r="E24" s="288"/>
      <c r="F24" s="288"/>
      <c r="G24" s="288"/>
    </row>
    <row r="25" spans="1:7" ht="15.6" x14ac:dyDescent="0.3">
      <c r="A25" s="204">
        <v>17</v>
      </c>
      <c r="B25" s="204" t="s">
        <v>29</v>
      </c>
      <c r="C25" s="211">
        <v>9.1</v>
      </c>
      <c r="D25" s="211">
        <f>C25*0.5+C25*0.1+C25*0.08</f>
        <v>6.1879999999999997</v>
      </c>
      <c r="E25" s="288"/>
      <c r="F25" s="288"/>
      <c r="G25" s="288"/>
    </row>
    <row r="26" spans="1:7" ht="15.6" x14ac:dyDescent="0.3">
      <c r="A26" s="204">
        <v>18</v>
      </c>
      <c r="B26" s="204" t="s">
        <v>30</v>
      </c>
      <c r="C26" s="211">
        <v>9.09</v>
      </c>
      <c r="D26" s="211">
        <f t="shared" ref="D26:D29" si="1">C26*0.5+C26*0.1+C26*0.08</f>
        <v>6.1811999999999996</v>
      </c>
      <c r="E26" s="288"/>
      <c r="F26" s="288"/>
      <c r="G26" s="288"/>
    </row>
    <row r="27" spans="1:7" ht="15.6" x14ac:dyDescent="0.3">
      <c r="A27" s="204">
        <v>19</v>
      </c>
      <c r="B27" s="204" t="s">
        <v>32</v>
      </c>
      <c r="C27" s="211">
        <v>9.07</v>
      </c>
      <c r="D27" s="211">
        <f t="shared" si="1"/>
        <v>6.1676000000000002</v>
      </c>
      <c r="E27" s="288"/>
      <c r="F27" s="288"/>
      <c r="G27" s="288"/>
    </row>
    <row r="28" spans="1:7" ht="15.6" x14ac:dyDescent="0.3">
      <c r="A28" s="204">
        <v>20</v>
      </c>
      <c r="B28" s="204" t="s">
        <v>90</v>
      </c>
      <c r="C28" s="211">
        <v>17.55</v>
      </c>
      <c r="D28" s="211">
        <f>C28*0.5+C28*0.1+C28*0.08</f>
        <v>11.934000000000001</v>
      </c>
      <c r="E28" s="288"/>
      <c r="F28" s="288"/>
      <c r="G28" s="288"/>
    </row>
    <row r="29" spans="1:7" ht="15.6" x14ac:dyDescent="0.3">
      <c r="A29" s="204">
        <v>21</v>
      </c>
      <c r="B29" s="204" t="s">
        <v>91</v>
      </c>
      <c r="C29" s="211">
        <v>9.8000000000000007</v>
      </c>
      <c r="D29" s="211">
        <f t="shared" si="1"/>
        <v>6.6640000000000006</v>
      </c>
      <c r="E29" s="288"/>
      <c r="F29" s="288"/>
      <c r="G29" s="288"/>
    </row>
    <row r="30" spans="1:7" ht="15.6" x14ac:dyDescent="0.3">
      <c r="A30" s="204">
        <v>22</v>
      </c>
      <c r="B30" s="204" t="s">
        <v>92</v>
      </c>
      <c r="C30" s="211">
        <v>9.6</v>
      </c>
      <c r="D30" s="211">
        <f>C30*0.5+C30*0.1+C30*0.08</f>
        <v>6.5279999999999996</v>
      </c>
      <c r="E30" s="288"/>
      <c r="F30" s="288"/>
      <c r="G30" s="288"/>
    </row>
    <row r="31" spans="1:7" ht="15.6" x14ac:dyDescent="0.3">
      <c r="A31" s="204">
        <v>23</v>
      </c>
      <c r="B31" s="204" t="s">
        <v>93</v>
      </c>
      <c r="C31" s="211">
        <v>9.07</v>
      </c>
      <c r="D31" s="211">
        <f t="shared" ref="D31:D33" si="2">C31*0.5+C31*0.1+C31*0.08</f>
        <v>6.1676000000000002</v>
      </c>
      <c r="E31" s="288"/>
      <c r="F31" s="288"/>
      <c r="G31" s="288"/>
    </row>
    <row r="32" spans="1:7" ht="15.6" x14ac:dyDescent="0.3">
      <c r="A32" s="204">
        <v>24</v>
      </c>
      <c r="B32" s="204" t="s">
        <v>96</v>
      </c>
      <c r="C32" s="211">
        <v>9.09</v>
      </c>
      <c r="D32" s="211">
        <f>C32*0.5+C32*0.1+C32*0.08-0.01</f>
        <v>6.1711999999999998</v>
      </c>
      <c r="E32" s="288"/>
      <c r="F32" s="288"/>
      <c r="G32" s="288"/>
    </row>
    <row r="33" spans="1:7" ht="15.6" x14ac:dyDescent="0.3">
      <c r="A33" s="204">
        <v>25</v>
      </c>
      <c r="B33" s="204" t="s">
        <v>97</v>
      </c>
      <c r="C33" s="211">
        <v>9.1</v>
      </c>
      <c r="D33" s="211">
        <f t="shared" si="2"/>
        <v>6.1879999999999997</v>
      </c>
      <c r="E33" s="288"/>
      <c r="F33" s="288"/>
      <c r="G33" s="288"/>
    </row>
    <row r="34" spans="1:7" ht="15.6" x14ac:dyDescent="0.3">
      <c r="A34" s="204">
        <v>26</v>
      </c>
      <c r="B34" s="204" t="s">
        <v>98</v>
      </c>
      <c r="C34" s="211">
        <v>9.1</v>
      </c>
      <c r="D34" s="211">
        <f t="shared" ref="D34:D37" si="3">C34*0.5+C34*0.1+C34*0.075</f>
        <v>6.1425000000000001</v>
      </c>
      <c r="E34" s="288"/>
      <c r="F34" s="288"/>
      <c r="G34" s="288"/>
    </row>
    <row r="35" spans="1:7" ht="15.6" x14ac:dyDescent="0.3">
      <c r="A35" s="204">
        <v>27</v>
      </c>
      <c r="B35" s="204" t="s">
        <v>99</v>
      </c>
      <c r="C35" s="211">
        <v>9.1</v>
      </c>
      <c r="D35" s="211">
        <f t="shared" si="3"/>
        <v>6.1425000000000001</v>
      </c>
      <c r="E35" s="288"/>
      <c r="F35" s="288"/>
      <c r="G35" s="288"/>
    </row>
    <row r="36" spans="1:7" ht="15.6" x14ac:dyDescent="0.3">
      <c r="A36" s="204">
        <v>28</v>
      </c>
      <c r="B36" s="204" t="s">
        <v>100</v>
      </c>
      <c r="C36" s="211">
        <v>9.1</v>
      </c>
      <c r="D36" s="211">
        <f t="shared" si="3"/>
        <v>6.1425000000000001</v>
      </c>
      <c r="E36" s="288"/>
      <c r="F36" s="288"/>
      <c r="G36" s="288"/>
    </row>
    <row r="37" spans="1:7" ht="15.6" x14ac:dyDescent="0.3">
      <c r="A37" s="204">
        <v>29</v>
      </c>
      <c r="B37" s="204" t="s">
        <v>101</v>
      </c>
      <c r="C37" s="211">
        <v>9.08</v>
      </c>
      <c r="D37" s="211">
        <f t="shared" si="3"/>
        <v>6.1290000000000004</v>
      </c>
      <c r="E37" s="288"/>
      <c r="F37" s="288"/>
      <c r="G37" s="288"/>
    </row>
    <row r="38" spans="1:7" ht="15.6" x14ac:dyDescent="0.3">
      <c r="A38" s="289" t="s">
        <v>164</v>
      </c>
      <c r="B38" s="289"/>
      <c r="C38" s="211">
        <f>SUM(C9:C37)</f>
        <v>276.56</v>
      </c>
      <c r="D38" s="211">
        <f>SUM(D9:D37)</f>
        <v>187.8689</v>
      </c>
      <c r="E38" s="288"/>
      <c r="F38" s="288"/>
      <c r="G38" s="288"/>
    </row>
  </sheetData>
  <mergeCells count="9">
    <mergeCell ref="A1:G1"/>
    <mergeCell ref="A7:G7"/>
    <mergeCell ref="E8:G38"/>
    <mergeCell ref="A38:B38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="85" zoomScaleNormal="85" workbookViewId="0">
      <selection activeCell="A4" sqref="A4:XFD4"/>
    </sheetView>
  </sheetViews>
  <sheetFormatPr defaultRowHeight="14.4" x14ac:dyDescent="0.3"/>
  <cols>
    <col min="1" max="1" width="7.21875" style="140" customWidth="1"/>
    <col min="2" max="2" width="9.88671875" style="140" customWidth="1"/>
    <col min="3" max="3" width="5.5546875" style="140" customWidth="1"/>
    <col min="4" max="4" width="7.109375" style="140" customWidth="1"/>
    <col min="5" max="5" width="7.6640625" style="140" customWidth="1"/>
    <col min="6" max="6" width="4.5546875" style="140" customWidth="1"/>
    <col min="7" max="7" width="38.21875" style="140" customWidth="1"/>
    <col min="8" max="8" width="7.5546875" style="140" customWidth="1"/>
    <col min="9" max="9" width="9" style="140" customWidth="1"/>
    <col min="10" max="16384" width="8.88671875" style="140"/>
  </cols>
  <sheetData>
    <row r="1" spans="1:9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</row>
    <row r="2" spans="1:9" s="153" customFormat="1" ht="31.2" x14ac:dyDescent="0.3">
      <c r="A2" s="141" t="s">
        <v>0</v>
      </c>
      <c r="B2" s="279" t="s">
        <v>1</v>
      </c>
      <c r="C2" s="279"/>
      <c r="D2" s="279"/>
      <c r="E2" s="279"/>
      <c r="F2" s="280"/>
      <c r="G2" s="201" t="s">
        <v>175</v>
      </c>
      <c r="H2" s="142" t="s">
        <v>15</v>
      </c>
      <c r="I2" s="152" t="s">
        <v>8</v>
      </c>
    </row>
    <row r="3" spans="1:9" ht="15.6" x14ac:dyDescent="0.3">
      <c r="A3" s="200">
        <v>1</v>
      </c>
      <c r="B3" s="258" t="s">
        <v>249</v>
      </c>
      <c r="C3" s="258"/>
      <c r="D3" s="258"/>
      <c r="E3" s="258"/>
      <c r="F3" s="281"/>
      <c r="G3" s="202" t="s">
        <v>323</v>
      </c>
      <c r="H3" s="200" t="s">
        <v>82</v>
      </c>
      <c r="I3" s="144">
        <f>B8</f>
        <v>1346.8005000000001</v>
      </c>
    </row>
    <row r="4" spans="1:9" ht="15.6" x14ac:dyDescent="0.3">
      <c r="A4" s="259"/>
      <c r="B4" s="259"/>
      <c r="C4" s="259"/>
      <c r="D4" s="259"/>
      <c r="E4" s="259"/>
      <c r="F4" s="259"/>
      <c r="G4" s="259"/>
      <c r="H4" s="259"/>
      <c r="I4" s="259"/>
    </row>
    <row r="5" spans="1:9" ht="30.6" customHeight="1" x14ac:dyDescent="0.3">
      <c r="A5" s="169" t="s">
        <v>176</v>
      </c>
      <c r="B5" s="169" t="s">
        <v>177</v>
      </c>
      <c r="C5" s="261"/>
      <c r="D5" s="261"/>
      <c r="E5" s="261"/>
      <c r="F5" s="261"/>
      <c r="G5" s="261"/>
      <c r="H5" s="261"/>
      <c r="I5" s="261"/>
    </row>
    <row r="6" spans="1:9" ht="15.6" customHeight="1" x14ac:dyDescent="0.3">
      <c r="A6" s="146" t="s">
        <v>191</v>
      </c>
      <c r="B6" s="149">
        <v>610.49</v>
      </c>
      <c r="C6" s="261"/>
      <c r="D6" s="261"/>
      <c r="E6" s="261"/>
      <c r="F6" s="261"/>
      <c r="G6" s="261"/>
      <c r="H6" s="261"/>
      <c r="I6" s="261"/>
    </row>
    <row r="7" spans="1:9" ht="15.6" customHeight="1" x14ac:dyDescent="0.3">
      <c r="A7" s="147" t="s">
        <v>192</v>
      </c>
      <c r="B7" s="150">
        <v>736.31050000000005</v>
      </c>
      <c r="C7" s="261"/>
      <c r="D7" s="261"/>
      <c r="E7" s="261"/>
      <c r="F7" s="261"/>
      <c r="G7" s="261"/>
      <c r="H7" s="261"/>
      <c r="I7" s="261"/>
    </row>
    <row r="8" spans="1:9" x14ac:dyDescent="0.3">
      <c r="A8" s="203"/>
      <c r="B8" s="155">
        <f>SUM(B6:B7)</f>
        <v>1346.8005000000001</v>
      </c>
      <c r="C8" s="261"/>
      <c r="D8" s="261"/>
      <c r="E8" s="261"/>
      <c r="F8" s="261"/>
      <c r="G8" s="261"/>
      <c r="H8" s="261"/>
      <c r="I8" s="261"/>
    </row>
  </sheetData>
  <mergeCells count="5">
    <mergeCell ref="A1:I1"/>
    <mergeCell ref="B2:F2"/>
    <mergeCell ref="B3:F3"/>
    <mergeCell ref="A4:I4"/>
    <mergeCell ref="C5:I8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="85" zoomScaleNormal="85" workbookViewId="0">
      <selection activeCell="C6" sqref="C6:I16"/>
    </sheetView>
  </sheetViews>
  <sheetFormatPr defaultRowHeight="14.4" x14ac:dyDescent="0.3"/>
  <cols>
    <col min="1" max="1" width="7.21875" style="140" customWidth="1"/>
    <col min="2" max="2" width="9.88671875" style="140" customWidth="1"/>
    <col min="3" max="3" width="5.5546875" style="140" customWidth="1"/>
    <col min="4" max="4" width="7.109375" style="140" customWidth="1"/>
    <col min="5" max="5" width="7.6640625" style="140" customWidth="1"/>
    <col min="6" max="6" width="4.5546875" style="140" customWidth="1"/>
    <col min="7" max="7" width="38.21875" style="140" customWidth="1"/>
    <col min="8" max="8" width="7.5546875" style="140" customWidth="1"/>
    <col min="9" max="9" width="9" style="140" customWidth="1"/>
    <col min="10" max="16384" width="8.88671875" style="140"/>
  </cols>
  <sheetData>
    <row r="1" spans="1:9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</row>
    <row r="2" spans="1:9" s="153" customFormat="1" ht="31.2" x14ac:dyDescent="0.3">
      <c r="A2" s="141" t="s">
        <v>0</v>
      </c>
      <c r="B2" s="279" t="s">
        <v>1</v>
      </c>
      <c r="C2" s="279"/>
      <c r="D2" s="279"/>
      <c r="E2" s="279"/>
      <c r="F2" s="280"/>
      <c r="G2" s="198" t="s">
        <v>175</v>
      </c>
      <c r="H2" s="142" t="s">
        <v>15</v>
      </c>
      <c r="I2" s="152" t="s">
        <v>8</v>
      </c>
    </row>
    <row r="3" spans="1:9" ht="28.8" x14ac:dyDescent="0.3">
      <c r="A3" s="197">
        <v>1</v>
      </c>
      <c r="B3" s="258" t="s">
        <v>205</v>
      </c>
      <c r="C3" s="258"/>
      <c r="D3" s="258"/>
      <c r="E3" s="258"/>
      <c r="F3" s="281"/>
      <c r="G3" s="199" t="s">
        <v>324</v>
      </c>
      <c r="H3" s="197" t="s">
        <v>82</v>
      </c>
      <c r="I3" s="144">
        <f>B16</f>
        <v>3167.8690000000001</v>
      </c>
    </row>
    <row r="4" spans="1:9" ht="57" customHeight="1" x14ac:dyDescent="0.3">
      <c r="A4" s="197">
        <v>2</v>
      </c>
      <c r="B4" s="258" t="s">
        <v>205</v>
      </c>
      <c r="C4" s="258"/>
      <c r="D4" s="258"/>
      <c r="E4" s="258"/>
      <c r="F4" s="281"/>
      <c r="G4" s="199" t="s">
        <v>325</v>
      </c>
      <c r="H4" s="197" t="s">
        <v>82</v>
      </c>
      <c r="I4" s="144">
        <f>I3</f>
        <v>3167.8690000000001</v>
      </c>
    </row>
    <row r="5" spans="1:9" ht="15.6" x14ac:dyDescent="0.3">
      <c r="A5" s="259"/>
      <c r="B5" s="259"/>
      <c r="C5" s="259"/>
      <c r="D5" s="259"/>
      <c r="E5" s="259"/>
      <c r="F5" s="259"/>
      <c r="G5" s="259"/>
      <c r="H5" s="259"/>
      <c r="I5" s="259"/>
    </row>
    <row r="6" spans="1:9" ht="30.6" customHeight="1" x14ac:dyDescent="0.3">
      <c r="A6" s="169" t="s">
        <v>176</v>
      </c>
      <c r="B6" s="169" t="s">
        <v>177</v>
      </c>
      <c r="C6" s="261" t="s">
        <v>326</v>
      </c>
      <c r="D6" s="261"/>
      <c r="E6" s="261"/>
      <c r="F6" s="261"/>
      <c r="G6" s="261"/>
      <c r="H6" s="261"/>
      <c r="I6" s="261"/>
    </row>
    <row r="7" spans="1:9" ht="15.6" customHeight="1" x14ac:dyDescent="0.3">
      <c r="A7" s="146" t="s">
        <v>189</v>
      </c>
      <c r="B7" s="149">
        <v>590.38850000000002</v>
      </c>
      <c r="C7" s="261"/>
      <c r="D7" s="261"/>
      <c r="E7" s="261"/>
      <c r="F7" s="261"/>
      <c r="G7" s="261"/>
      <c r="H7" s="261"/>
      <c r="I7" s="261"/>
    </row>
    <row r="8" spans="1:9" ht="15.6" customHeight="1" x14ac:dyDescent="0.3">
      <c r="A8" s="147" t="s">
        <v>190</v>
      </c>
      <c r="B8" s="150">
        <v>141.96</v>
      </c>
      <c r="C8" s="261"/>
      <c r="D8" s="261"/>
      <c r="E8" s="261"/>
      <c r="F8" s="261"/>
      <c r="G8" s="261"/>
      <c r="H8" s="261"/>
      <c r="I8" s="261"/>
    </row>
    <row r="9" spans="1:9" ht="15.6" customHeight="1" x14ac:dyDescent="0.3">
      <c r="A9" s="146" t="s">
        <v>191</v>
      </c>
      <c r="B9" s="149">
        <v>610.49</v>
      </c>
      <c r="C9" s="261"/>
      <c r="D9" s="261"/>
      <c r="E9" s="261"/>
      <c r="F9" s="261"/>
      <c r="G9" s="261"/>
      <c r="H9" s="261"/>
      <c r="I9" s="261"/>
    </row>
    <row r="10" spans="1:9" ht="15.6" customHeight="1" x14ac:dyDescent="0.3">
      <c r="A10" s="147" t="s">
        <v>192</v>
      </c>
      <c r="B10" s="150">
        <v>736.31050000000005</v>
      </c>
      <c r="C10" s="261"/>
      <c r="D10" s="261"/>
      <c r="E10" s="261"/>
      <c r="F10" s="261"/>
      <c r="G10" s="261"/>
      <c r="H10" s="261"/>
      <c r="I10" s="261"/>
    </row>
    <row r="11" spans="1:9" ht="15.6" customHeight="1" x14ac:dyDescent="0.3">
      <c r="A11" s="146" t="s">
        <v>193</v>
      </c>
      <c r="B11" s="149">
        <v>184.6</v>
      </c>
      <c r="C11" s="261"/>
      <c r="D11" s="261"/>
      <c r="E11" s="261"/>
      <c r="F11" s="261"/>
      <c r="G11" s="261"/>
      <c r="H11" s="261"/>
      <c r="I11" s="261"/>
    </row>
    <row r="12" spans="1:9" ht="15.6" customHeight="1" x14ac:dyDescent="0.3">
      <c r="A12" s="147" t="s">
        <v>194</v>
      </c>
      <c r="B12" s="150">
        <v>714.72</v>
      </c>
      <c r="C12" s="261"/>
      <c r="D12" s="261"/>
      <c r="E12" s="261"/>
      <c r="F12" s="261"/>
      <c r="G12" s="261"/>
      <c r="H12" s="261"/>
      <c r="I12" s="261"/>
    </row>
    <row r="13" spans="1:9" ht="15.6" customHeight="1" x14ac:dyDescent="0.3">
      <c r="A13" s="146" t="s">
        <v>195</v>
      </c>
      <c r="B13" s="149">
        <v>94.2</v>
      </c>
      <c r="C13" s="261"/>
      <c r="D13" s="261"/>
      <c r="E13" s="261"/>
      <c r="F13" s="261"/>
      <c r="G13" s="261"/>
      <c r="H13" s="261"/>
      <c r="I13" s="261"/>
    </row>
    <row r="14" spans="1:9" ht="15.6" customHeight="1" x14ac:dyDescent="0.3">
      <c r="A14" s="147" t="s">
        <v>196</v>
      </c>
      <c r="B14" s="150">
        <v>42.8</v>
      </c>
      <c r="C14" s="261"/>
      <c r="D14" s="261"/>
      <c r="E14" s="261"/>
      <c r="F14" s="261"/>
      <c r="G14" s="261"/>
      <c r="H14" s="261"/>
      <c r="I14" s="261"/>
    </row>
    <row r="15" spans="1:9" x14ac:dyDescent="0.3">
      <c r="A15" s="146" t="s">
        <v>197</v>
      </c>
      <c r="B15" s="149">
        <v>52.4</v>
      </c>
      <c r="C15" s="261"/>
      <c r="D15" s="261"/>
      <c r="E15" s="261"/>
      <c r="F15" s="261"/>
      <c r="G15" s="261"/>
      <c r="H15" s="261"/>
      <c r="I15" s="261"/>
    </row>
    <row r="16" spans="1:9" x14ac:dyDescent="0.3">
      <c r="A16" s="203"/>
      <c r="B16" s="155">
        <f>SUM(B7:B15)</f>
        <v>3167.8690000000001</v>
      </c>
      <c r="C16" s="261"/>
      <c r="D16" s="261"/>
      <c r="E16" s="261"/>
      <c r="F16" s="261"/>
      <c r="G16" s="261"/>
      <c r="H16" s="261"/>
      <c r="I16" s="261"/>
    </row>
  </sheetData>
  <mergeCells count="6">
    <mergeCell ref="C6:I16"/>
    <mergeCell ref="B4:F4"/>
    <mergeCell ref="A1:I1"/>
    <mergeCell ref="B2:F2"/>
    <mergeCell ref="B3:F3"/>
    <mergeCell ref="A5:I5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70" zoomScaleNormal="70" workbookViewId="0">
      <selection activeCell="D5" sqref="D5:H9"/>
    </sheetView>
  </sheetViews>
  <sheetFormatPr defaultRowHeight="14.4" x14ac:dyDescent="0.3"/>
  <cols>
    <col min="2" max="2" width="6.109375" bestFit="1" customWidth="1"/>
    <col min="3" max="3" width="11.88671875" bestFit="1" customWidth="1"/>
    <col min="4" max="4" width="10.6640625" customWidth="1"/>
    <col min="5" max="5" width="13.6640625" customWidth="1"/>
    <col min="8" max="8" width="12.5546875" customWidth="1"/>
  </cols>
  <sheetData>
    <row r="1" spans="1:8" ht="15.6" x14ac:dyDescent="0.3">
      <c r="A1" s="286" t="s">
        <v>316</v>
      </c>
      <c r="B1" s="286"/>
      <c r="C1" s="286"/>
      <c r="D1" s="286"/>
      <c r="E1" s="286"/>
      <c r="F1" s="286"/>
      <c r="G1" s="286"/>
      <c r="H1" s="286"/>
    </row>
    <row r="2" spans="1:8" ht="15.6" x14ac:dyDescent="0.3">
      <c r="A2" s="141" t="s">
        <v>0</v>
      </c>
      <c r="B2" s="290" t="s">
        <v>174</v>
      </c>
      <c r="C2" s="279"/>
      <c r="D2" s="279"/>
      <c r="E2" s="294" t="s">
        <v>175</v>
      </c>
      <c r="F2" s="295"/>
      <c r="G2" s="142" t="s">
        <v>15</v>
      </c>
      <c r="H2" s="152" t="s">
        <v>8</v>
      </c>
    </row>
    <row r="3" spans="1:8" ht="49.8" customHeight="1" x14ac:dyDescent="0.3">
      <c r="A3" s="194">
        <v>1</v>
      </c>
      <c r="B3" s="291" t="s">
        <v>320</v>
      </c>
      <c r="C3" s="258"/>
      <c r="D3" s="258"/>
      <c r="E3" s="296" t="s">
        <v>361</v>
      </c>
      <c r="F3" s="297"/>
      <c r="G3" s="194" t="s">
        <v>82</v>
      </c>
      <c r="H3" s="144">
        <f>C9</f>
        <v>825</v>
      </c>
    </row>
    <row r="4" spans="1:8" ht="9" customHeight="1" x14ac:dyDescent="0.3">
      <c r="A4" s="259"/>
      <c r="B4" s="259"/>
      <c r="C4" s="259"/>
      <c r="D4" s="259"/>
      <c r="E4" s="259"/>
      <c r="F4" s="259"/>
      <c r="G4" s="259"/>
      <c r="H4" s="259"/>
    </row>
    <row r="5" spans="1:8" ht="15.6" x14ac:dyDescent="0.3">
      <c r="A5" s="196" t="s">
        <v>0</v>
      </c>
      <c r="B5" s="196" t="s">
        <v>256</v>
      </c>
      <c r="C5" s="196" t="s">
        <v>257</v>
      </c>
      <c r="D5" s="292"/>
      <c r="E5" s="293"/>
      <c r="F5" s="293"/>
      <c r="G5" s="293"/>
      <c r="H5" s="293"/>
    </row>
    <row r="6" spans="1:8" ht="15.6" x14ac:dyDescent="0.3">
      <c r="A6" s="196">
        <v>1</v>
      </c>
      <c r="B6" s="196" t="s">
        <v>322</v>
      </c>
      <c r="C6" s="196">
        <f>7.5*2*11 + 5 * 2 * 4 + 10 * 2 * 2.5</f>
        <v>255</v>
      </c>
      <c r="D6" s="292"/>
      <c r="E6" s="293"/>
      <c r="F6" s="293"/>
      <c r="G6" s="293"/>
      <c r="H6" s="293"/>
    </row>
    <row r="7" spans="1:8" ht="15.6" x14ac:dyDescent="0.3">
      <c r="A7" s="195">
        <v>2</v>
      </c>
      <c r="B7" s="195" t="s">
        <v>132</v>
      </c>
      <c r="C7" s="196">
        <f>7.5*2*11+5*2*4+2.5*2*17</f>
        <v>290</v>
      </c>
      <c r="D7" s="292"/>
      <c r="E7" s="293"/>
      <c r="F7" s="293"/>
      <c r="G7" s="293"/>
      <c r="H7" s="293"/>
    </row>
    <row r="8" spans="1:8" ht="15.6" x14ac:dyDescent="0.3">
      <c r="A8" s="222">
        <v>2</v>
      </c>
      <c r="B8" s="222" t="s">
        <v>359</v>
      </c>
      <c r="C8" s="221">
        <f>7.5*2*10+5*2*4+2.5*2*18</f>
        <v>280</v>
      </c>
      <c r="D8" s="292"/>
      <c r="E8" s="293"/>
      <c r="F8" s="293"/>
      <c r="G8" s="293"/>
      <c r="H8" s="293"/>
    </row>
    <row r="9" spans="1:8" ht="15.6" x14ac:dyDescent="0.3">
      <c r="A9" s="225" t="s">
        <v>164</v>
      </c>
      <c r="B9" s="225"/>
      <c r="C9" s="196">
        <f>SUM(C6:C8)</f>
        <v>825</v>
      </c>
      <c r="D9" s="292"/>
      <c r="E9" s="293"/>
      <c r="F9" s="293"/>
      <c r="G9" s="293"/>
      <c r="H9" s="293"/>
    </row>
  </sheetData>
  <mergeCells count="7">
    <mergeCell ref="A4:H4"/>
    <mergeCell ref="D5:H9"/>
    <mergeCell ref="A1:H1"/>
    <mergeCell ref="B2:D2"/>
    <mergeCell ref="E2:F2"/>
    <mergeCell ref="B3:D3"/>
    <mergeCell ref="E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70" zoomScaleNormal="70" workbookViewId="0">
      <selection activeCell="F30" sqref="F30"/>
    </sheetView>
  </sheetViews>
  <sheetFormatPr defaultRowHeight="14.4" x14ac:dyDescent="0.3"/>
  <cols>
    <col min="3" max="3" width="17" customWidth="1"/>
    <col min="4" max="4" width="9.88671875" customWidth="1"/>
    <col min="5" max="5" width="13.6640625" customWidth="1"/>
    <col min="8" max="8" width="12.5546875" customWidth="1"/>
  </cols>
  <sheetData>
    <row r="1" spans="1:8" ht="15.6" x14ac:dyDescent="0.3">
      <c r="A1" s="286" t="s">
        <v>316</v>
      </c>
      <c r="B1" s="286"/>
      <c r="C1" s="286"/>
      <c r="D1" s="286"/>
      <c r="E1" s="286"/>
      <c r="F1" s="286"/>
      <c r="G1" s="286"/>
      <c r="H1" s="286"/>
    </row>
    <row r="2" spans="1:8" ht="15.6" x14ac:dyDescent="0.3">
      <c r="A2" s="141" t="s">
        <v>0</v>
      </c>
      <c r="B2" s="290" t="s">
        <v>174</v>
      </c>
      <c r="C2" s="279"/>
      <c r="D2" s="279"/>
      <c r="E2" s="294" t="s">
        <v>175</v>
      </c>
      <c r="F2" s="295"/>
      <c r="G2" s="142" t="s">
        <v>15</v>
      </c>
      <c r="H2" s="152" t="s">
        <v>8</v>
      </c>
    </row>
    <row r="3" spans="1:8" ht="66.599999999999994" customHeight="1" x14ac:dyDescent="0.3">
      <c r="A3" s="192">
        <v>1</v>
      </c>
      <c r="B3" s="291" t="s">
        <v>321</v>
      </c>
      <c r="C3" s="258"/>
      <c r="D3" s="258"/>
      <c r="E3" s="296" t="s">
        <v>360</v>
      </c>
      <c r="F3" s="297"/>
      <c r="G3" s="192" t="s">
        <v>82</v>
      </c>
      <c r="H3" s="144">
        <f>C9</f>
        <v>1106.2</v>
      </c>
    </row>
    <row r="4" spans="1:8" ht="9" customHeight="1" x14ac:dyDescent="0.3">
      <c r="A4" s="259"/>
      <c r="B4" s="259"/>
      <c r="C4" s="259"/>
      <c r="D4" s="259"/>
      <c r="E4" s="259"/>
      <c r="F4" s="259"/>
      <c r="G4" s="259"/>
      <c r="H4" s="259"/>
    </row>
    <row r="5" spans="1:8" ht="15.6" x14ac:dyDescent="0.3">
      <c r="A5" s="176" t="s">
        <v>0</v>
      </c>
      <c r="B5" s="176" t="s">
        <v>256</v>
      </c>
      <c r="C5" s="176" t="s">
        <v>257</v>
      </c>
      <c r="D5" s="292"/>
      <c r="E5" s="300"/>
      <c r="F5" s="300"/>
      <c r="G5" s="300"/>
      <c r="H5" s="300"/>
    </row>
    <row r="6" spans="1:8" ht="15.6" x14ac:dyDescent="0.3">
      <c r="A6" s="176">
        <v>1</v>
      </c>
      <c r="B6" s="176" t="s">
        <v>322</v>
      </c>
      <c r="C6" s="176">
        <v>357.9</v>
      </c>
      <c r="D6" s="292"/>
      <c r="E6" s="300"/>
      <c r="F6" s="300"/>
      <c r="G6" s="300"/>
      <c r="H6" s="300"/>
    </row>
    <row r="7" spans="1:8" ht="15.6" x14ac:dyDescent="0.3">
      <c r="A7" s="221">
        <v>2</v>
      </c>
      <c r="B7" s="221" t="s">
        <v>132</v>
      </c>
      <c r="C7" s="222">
        <v>391.1</v>
      </c>
      <c r="D7" s="292"/>
      <c r="E7" s="300"/>
      <c r="F7" s="300"/>
      <c r="G7" s="300"/>
      <c r="H7" s="300"/>
    </row>
    <row r="8" spans="1:8" ht="15.6" x14ac:dyDescent="0.3">
      <c r="A8" s="221">
        <v>3</v>
      </c>
      <c r="B8" s="176" t="s">
        <v>359</v>
      </c>
      <c r="C8" s="193">
        <v>357.2</v>
      </c>
      <c r="D8" s="292"/>
      <c r="E8" s="300"/>
      <c r="F8" s="300"/>
      <c r="G8" s="300"/>
      <c r="H8" s="300"/>
    </row>
    <row r="9" spans="1:8" ht="14.4" customHeight="1" x14ac:dyDescent="0.3">
      <c r="A9" s="298" t="s">
        <v>164</v>
      </c>
      <c r="B9" s="299"/>
      <c r="C9" s="176">
        <f>SUM(C6:C8)</f>
        <v>1106.2</v>
      </c>
      <c r="D9" s="292"/>
      <c r="E9" s="300"/>
      <c r="F9" s="300"/>
      <c r="G9" s="300"/>
      <c r="H9" s="300"/>
    </row>
  </sheetData>
  <mergeCells count="8">
    <mergeCell ref="A9:B9"/>
    <mergeCell ref="A4:H4"/>
    <mergeCell ref="D5:H9"/>
    <mergeCell ref="A1:H1"/>
    <mergeCell ref="B2:D2"/>
    <mergeCell ref="E2:F2"/>
    <mergeCell ref="B3:D3"/>
    <mergeCell ref="E3:F3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70" zoomScaleNormal="70" workbookViewId="0">
      <selection activeCell="A5" sqref="A5:C14"/>
    </sheetView>
  </sheetViews>
  <sheetFormatPr defaultRowHeight="14.4" x14ac:dyDescent="0.3"/>
  <cols>
    <col min="3" max="3" width="17" customWidth="1"/>
    <col min="8" max="8" width="12.5546875" customWidth="1"/>
  </cols>
  <sheetData>
    <row r="1" spans="1:8" ht="15.6" x14ac:dyDescent="0.3">
      <c r="A1" s="286" t="s">
        <v>316</v>
      </c>
      <c r="B1" s="286"/>
      <c r="C1" s="286"/>
      <c r="D1" s="286"/>
      <c r="E1" s="286"/>
      <c r="F1" s="286"/>
      <c r="G1" s="286"/>
      <c r="H1" s="286"/>
    </row>
    <row r="2" spans="1:8" ht="15.6" x14ac:dyDescent="0.3">
      <c r="A2" s="141" t="s">
        <v>0</v>
      </c>
      <c r="B2" s="290" t="s">
        <v>174</v>
      </c>
      <c r="C2" s="279"/>
      <c r="D2" s="279"/>
      <c r="E2" s="294" t="s">
        <v>175</v>
      </c>
      <c r="F2" s="295"/>
      <c r="G2" s="142" t="s">
        <v>15</v>
      </c>
      <c r="H2" s="152" t="s">
        <v>8</v>
      </c>
    </row>
    <row r="3" spans="1:8" ht="58.2" customHeight="1" x14ac:dyDescent="0.3">
      <c r="A3" s="143">
        <v>1</v>
      </c>
      <c r="B3" s="291" t="s">
        <v>314</v>
      </c>
      <c r="C3" s="258"/>
      <c r="D3" s="258"/>
      <c r="E3" s="296" t="s">
        <v>315</v>
      </c>
      <c r="F3" s="297"/>
      <c r="G3" s="143" t="s">
        <v>82</v>
      </c>
      <c r="H3" s="144">
        <f>H14+C14+C25</f>
        <v>868.15000000000009</v>
      </c>
    </row>
    <row r="4" spans="1:8" ht="9" customHeight="1" x14ac:dyDescent="0.3">
      <c r="A4" s="259"/>
      <c r="B4" s="259"/>
      <c r="C4" s="259"/>
      <c r="D4" s="259"/>
      <c r="E4" s="259"/>
      <c r="F4" s="259"/>
      <c r="G4" s="259"/>
      <c r="H4" s="259"/>
    </row>
    <row r="5" spans="1:8" ht="15.6" x14ac:dyDescent="0.3">
      <c r="A5" s="176" t="s">
        <v>0</v>
      </c>
      <c r="B5" s="176" t="s">
        <v>256</v>
      </c>
      <c r="C5" s="176" t="s">
        <v>257</v>
      </c>
      <c r="D5" s="293"/>
      <c r="E5" s="293"/>
      <c r="F5" s="176" t="s">
        <v>0</v>
      </c>
      <c r="G5" s="176" t="s">
        <v>256</v>
      </c>
      <c r="H5" s="176" t="s">
        <v>257</v>
      </c>
    </row>
    <row r="6" spans="1:8" ht="15.6" x14ac:dyDescent="0.3">
      <c r="A6" s="176">
        <v>1</v>
      </c>
      <c r="B6" s="176" t="s">
        <v>128</v>
      </c>
      <c r="C6" s="176">
        <v>37.799999999999997</v>
      </c>
      <c r="D6" s="293"/>
      <c r="E6" s="293"/>
      <c r="F6" s="176">
        <v>1</v>
      </c>
      <c r="G6" s="176" t="s">
        <v>40</v>
      </c>
      <c r="H6" s="176">
        <v>37.9</v>
      </c>
    </row>
    <row r="7" spans="1:8" ht="15.6" x14ac:dyDescent="0.3">
      <c r="A7" s="176">
        <v>2</v>
      </c>
      <c r="B7" s="176" t="s">
        <v>125</v>
      </c>
      <c r="C7" s="301">
        <v>171.77</v>
      </c>
      <c r="D7" s="293"/>
      <c r="E7" s="293"/>
      <c r="F7" s="176">
        <v>2</v>
      </c>
      <c r="G7" s="176" t="s">
        <v>33</v>
      </c>
      <c r="H7" s="189">
        <v>171.21</v>
      </c>
    </row>
    <row r="8" spans="1:8" ht="15.6" x14ac:dyDescent="0.3">
      <c r="A8" s="176">
        <v>3</v>
      </c>
      <c r="B8" s="176" t="s">
        <v>126</v>
      </c>
      <c r="C8" s="302"/>
      <c r="D8" s="293"/>
      <c r="E8" s="293"/>
      <c r="F8" s="176">
        <v>3</v>
      </c>
      <c r="G8" s="176" t="s">
        <v>34</v>
      </c>
      <c r="H8" s="190"/>
    </row>
    <row r="9" spans="1:8" ht="15.6" x14ac:dyDescent="0.3">
      <c r="A9" s="176">
        <v>4</v>
      </c>
      <c r="B9" s="176" t="s">
        <v>127</v>
      </c>
      <c r="C9" s="301">
        <v>52.84</v>
      </c>
      <c r="D9" s="293"/>
      <c r="E9" s="293"/>
      <c r="F9" s="176">
        <v>4</v>
      </c>
      <c r="G9" s="176" t="s">
        <v>37</v>
      </c>
      <c r="H9" s="189">
        <v>52.61</v>
      </c>
    </row>
    <row r="10" spans="1:8" ht="15.6" x14ac:dyDescent="0.3">
      <c r="A10" s="176">
        <v>5</v>
      </c>
      <c r="B10" s="176" t="s">
        <v>124</v>
      </c>
      <c r="C10" s="302"/>
      <c r="D10" s="293"/>
      <c r="E10" s="293"/>
      <c r="F10" s="176">
        <v>5</v>
      </c>
      <c r="G10" s="176" t="s">
        <v>38</v>
      </c>
      <c r="H10" s="190"/>
    </row>
    <row r="11" spans="1:8" ht="15.6" x14ac:dyDescent="0.3">
      <c r="A11" s="176">
        <v>6</v>
      </c>
      <c r="B11" s="176" t="s">
        <v>126</v>
      </c>
      <c r="C11" s="176">
        <v>6.11</v>
      </c>
      <c r="D11" s="293"/>
      <c r="E11" s="293"/>
      <c r="F11" s="176">
        <v>6</v>
      </c>
      <c r="G11" s="176" t="s">
        <v>34</v>
      </c>
      <c r="H11" s="176">
        <v>6.2</v>
      </c>
    </row>
    <row r="12" spans="1:8" ht="15.6" x14ac:dyDescent="0.3">
      <c r="A12" s="176">
        <v>7</v>
      </c>
      <c r="B12" s="176" t="s">
        <v>125</v>
      </c>
      <c r="C12" s="301">
        <v>22.31</v>
      </c>
      <c r="D12" s="293"/>
      <c r="E12" s="293"/>
      <c r="F12" s="176">
        <v>7</v>
      </c>
      <c r="G12" s="176" t="s">
        <v>33</v>
      </c>
      <c r="H12" s="189">
        <v>21.96</v>
      </c>
    </row>
    <row r="13" spans="1:8" ht="15.6" x14ac:dyDescent="0.3">
      <c r="A13" s="176">
        <v>8</v>
      </c>
      <c r="B13" s="176" t="s">
        <v>127</v>
      </c>
      <c r="C13" s="302"/>
      <c r="D13" s="293"/>
      <c r="E13" s="293"/>
      <c r="F13" s="176">
        <v>8</v>
      </c>
      <c r="G13" s="176" t="s">
        <v>37</v>
      </c>
      <c r="H13" s="190"/>
    </row>
    <row r="14" spans="1:8" ht="14.4" customHeight="1" x14ac:dyDescent="0.3">
      <c r="A14" s="304" t="s">
        <v>164</v>
      </c>
      <c r="B14" s="304"/>
      <c r="C14" s="176">
        <f>SUM(C6:C13)</f>
        <v>290.83</v>
      </c>
      <c r="D14" s="293"/>
      <c r="E14" s="293"/>
      <c r="F14" s="304" t="s">
        <v>164</v>
      </c>
      <c r="G14" s="304"/>
      <c r="H14" s="176">
        <f>SUM(H6:H13)</f>
        <v>289.88</v>
      </c>
    </row>
    <row r="15" spans="1:8" x14ac:dyDescent="0.3">
      <c r="A15" s="303"/>
      <c r="B15" s="303"/>
      <c r="C15" s="303"/>
      <c r="D15" s="293"/>
      <c r="E15" s="293"/>
      <c r="F15" s="305"/>
      <c r="G15" s="305"/>
      <c r="H15" s="305"/>
    </row>
    <row r="16" spans="1:8" ht="15.6" x14ac:dyDescent="0.3">
      <c r="A16" s="176" t="s">
        <v>0</v>
      </c>
      <c r="B16" s="176" t="s">
        <v>256</v>
      </c>
      <c r="C16" s="176" t="s">
        <v>257</v>
      </c>
      <c r="D16" s="293"/>
      <c r="E16" s="293"/>
      <c r="F16" s="293"/>
      <c r="G16" s="293"/>
      <c r="H16" s="293"/>
    </row>
    <row r="17" spans="1:8" ht="15.6" x14ac:dyDescent="0.3">
      <c r="A17" s="176">
        <v>1</v>
      </c>
      <c r="B17" s="176" t="s">
        <v>122</v>
      </c>
      <c r="C17" s="176">
        <v>37.799999999999997</v>
      </c>
      <c r="D17" s="293"/>
      <c r="E17" s="293"/>
      <c r="F17" s="293"/>
      <c r="G17" s="293"/>
      <c r="H17" s="293"/>
    </row>
    <row r="18" spans="1:8" ht="15.6" x14ac:dyDescent="0.3">
      <c r="A18" s="176">
        <v>2</v>
      </c>
      <c r="B18" s="176" t="s">
        <v>103</v>
      </c>
      <c r="C18" s="301">
        <v>169.27</v>
      </c>
      <c r="D18" s="293"/>
      <c r="E18" s="293"/>
      <c r="F18" s="293"/>
      <c r="G18" s="293"/>
      <c r="H18" s="293"/>
    </row>
    <row r="19" spans="1:8" ht="15.6" x14ac:dyDescent="0.3">
      <c r="A19" s="176">
        <v>3</v>
      </c>
      <c r="B19" s="176" t="s">
        <v>104</v>
      </c>
      <c r="C19" s="302"/>
      <c r="D19" s="293"/>
      <c r="E19" s="293"/>
      <c r="F19" s="293"/>
      <c r="G19" s="293"/>
      <c r="H19" s="293"/>
    </row>
    <row r="20" spans="1:8" ht="15.6" x14ac:dyDescent="0.3">
      <c r="A20" s="176">
        <v>4</v>
      </c>
      <c r="B20" s="176" t="s">
        <v>105</v>
      </c>
      <c r="C20" s="301">
        <v>50.21</v>
      </c>
      <c r="D20" s="293"/>
      <c r="E20" s="293"/>
      <c r="F20" s="293"/>
      <c r="G20" s="293"/>
      <c r="H20" s="293"/>
    </row>
    <row r="21" spans="1:8" ht="15.6" x14ac:dyDescent="0.3">
      <c r="A21" s="176">
        <v>5</v>
      </c>
      <c r="B21" s="176" t="s">
        <v>106</v>
      </c>
      <c r="C21" s="302"/>
      <c r="D21" s="293"/>
      <c r="E21" s="293"/>
      <c r="F21" s="293"/>
      <c r="G21" s="293"/>
      <c r="H21" s="293"/>
    </row>
    <row r="22" spans="1:8" ht="15.6" x14ac:dyDescent="0.3">
      <c r="A22" s="176">
        <v>6</v>
      </c>
      <c r="B22" s="176" t="s">
        <v>104</v>
      </c>
      <c r="C22" s="176">
        <v>8.11</v>
      </c>
      <c r="D22" s="293"/>
      <c r="E22" s="293"/>
      <c r="F22" s="293"/>
      <c r="G22" s="293"/>
      <c r="H22" s="293"/>
    </row>
    <row r="23" spans="1:8" ht="15.6" x14ac:dyDescent="0.3">
      <c r="A23" s="176">
        <v>7</v>
      </c>
      <c r="B23" s="176" t="s">
        <v>103</v>
      </c>
      <c r="C23" s="301">
        <v>22.05</v>
      </c>
      <c r="D23" s="293"/>
      <c r="E23" s="293"/>
      <c r="F23" s="293"/>
      <c r="G23" s="293"/>
      <c r="H23" s="293"/>
    </row>
    <row r="24" spans="1:8" ht="15.6" x14ac:dyDescent="0.3">
      <c r="A24" s="176">
        <v>8</v>
      </c>
      <c r="B24" s="176" t="s">
        <v>105</v>
      </c>
      <c r="C24" s="302"/>
      <c r="D24" s="293"/>
      <c r="E24" s="293"/>
      <c r="F24" s="293"/>
      <c r="G24" s="293"/>
      <c r="H24" s="293"/>
    </row>
    <row r="25" spans="1:8" ht="15.6" x14ac:dyDescent="0.3">
      <c r="A25" s="304" t="s">
        <v>164</v>
      </c>
      <c r="B25" s="304"/>
      <c r="C25" s="176">
        <f>SUM(C17:C24)</f>
        <v>287.44</v>
      </c>
      <c r="D25" s="293"/>
      <c r="E25" s="293"/>
      <c r="F25" s="293"/>
      <c r="G25" s="293"/>
      <c r="H25" s="293"/>
    </row>
  </sheetData>
  <mergeCells count="18">
    <mergeCell ref="A25:B25"/>
    <mergeCell ref="F14:G14"/>
    <mergeCell ref="B3:D3"/>
    <mergeCell ref="E3:F3"/>
    <mergeCell ref="D5:E25"/>
    <mergeCell ref="F15:H25"/>
    <mergeCell ref="C23:C24"/>
    <mergeCell ref="A1:H1"/>
    <mergeCell ref="B2:D2"/>
    <mergeCell ref="E2:F2"/>
    <mergeCell ref="C9:C10"/>
    <mergeCell ref="C20:C21"/>
    <mergeCell ref="A15:C15"/>
    <mergeCell ref="A4:H4"/>
    <mergeCell ref="C7:C8"/>
    <mergeCell ref="C18:C19"/>
    <mergeCell ref="C12:C13"/>
    <mergeCell ref="A14:B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selection activeCell="E10" sqref="E10:J47"/>
    </sheetView>
  </sheetViews>
  <sheetFormatPr defaultRowHeight="14.4" x14ac:dyDescent="0.3"/>
  <cols>
    <col min="4" max="4" width="17" customWidth="1"/>
  </cols>
  <sheetData>
    <row r="1" spans="1:10" ht="15.6" x14ac:dyDescent="0.3">
      <c r="A1" s="277" t="s">
        <v>317</v>
      </c>
      <c r="B1" s="278"/>
      <c r="C1" s="278"/>
      <c r="D1" s="278"/>
      <c r="E1" s="278"/>
      <c r="F1" s="278"/>
      <c r="G1" s="278"/>
      <c r="H1" s="278"/>
      <c r="I1" s="278"/>
      <c r="J1" s="278"/>
    </row>
    <row r="2" spans="1:10" ht="15.6" x14ac:dyDescent="0.3">
      <c r="A2" s="141" t="s">
        <v>0</v>
      </c>
      <c r="B2" s="156" t="s">
        <v>203</v>
      </c>
      <c r="C2" s="290" t="s">
        <v>174</v>
      </c>
      <c r="D2" s="279"/>
      <c r="E2" s="279"/>
      <c r="F2" s="279"/>
      <c r="G2" s="294" t="s">
        <v>175</v>
      </c>
      <c r="H2" s="295"/>
      <c r="I2" s="142" t="s">
        <v>15</v>
      </c>
      <c r="J2" s="152" t="s">
        <v>8</v>
      </c>
    </row>
    <row r="3" spans="1:10" ht="47.4" customHeight="1" x14ac:dyDescent="0.3">
      <c r="A3" s="143">
        <v>1</v>
      </c>
      <c r="B3" s="157">
        <v>284</v>
      </c>
      <c r="C3" s="291" t="s">
        <v>253</v>
      </c>
      <c r="D3" s="258"/>
      <c r="E3" s="258"/>
      <c r="F3" s="258"/>
      <c r="G3" s="296" t="s">
        <v>264</v>
      </c>
      <c r="H3" s="297"/>
      <c r="I3" s="143" t="s">
        <v>82</v>
      </c>
      <c r="J3" s="144">
        <f>D14</f>
        <v>113.49999999999999</v>
      </c>
    </row>
    <row r="4" spans="1:10" ht="47.4" customHeight="1" x14ac:dyDescent="0.3">
      <c r="A4" s="143">
        <v>2</v>
      </c>
      <c r="B4" s="157">
        <v>289</v>
      </c>
      <c r="C4" s="291" t="s">
        <v>253</v>
      </c>
      <c r="D4" s="258"/>
      <c r="E4" s="258"/>
      <c r="F4" s="258"/>
      <c r="G4" s="296" t="s">
        <v>254</v>
      </c>
      <c r="H4" s="297"/>
      <c r="I4" s="143" t="s">
        <v>82</v>
      </c>
      <c r="J4" s="144">
        <f>D23</f>
        <v>512.25</v>
      </c>
    </row>
    <row r="5" spans="1:10" ht="47.4" customHeight="1" x14ac:dyDescent="0.3">
      <c r="A5" s="143">
        <v>3</v>
      </c>
      <c r="B5" s="157">
        <v>294</v>
      </c>
      <c r="C5" s="291" t="s">
        <v>253</v>
      </c>
      <c r="D5" s="258"/>
      <c r="E5" s="258"/>
      <c r="F5" s="258"/>
      <c r="G5" s="296" t="s">
        <v>263</v>
      </c>
      <c r="H5" s="297"/>
      <c r="I5" s="143" t="s">
        <v>82</v>
      </c>
      <c r="J5" s="144">
        <f>D32</f>
        <v>155.66</v>
      </c>
    </row>
    <row r="6" spans="1:10" ht="47.4" customHeight="1" x14ac:dyDescent="0.3">
      <c r="A6" s="143">
        <v>4</v>
      </c>
      <c r="B6" s="157">
        <v>299</v>
      </c>
      <c r="C6" s="291" t="s">
        <v>253</v>
      </c>
      <c r="D6" s="258"/>
      <c r="E6" s="258"/>
      <c r="F6" s="258"/>
      <c r="G6" s="296" t="s">
        <v>265</v>
      </c>
      <c r="H6" s="297"/>
      <c r="I6" s="143" t="s">
        <v>82</v>
      </c>
      <c r="J6" s="144">
        <f>D38</f>
        <v>20.420000000000002</v>
      </c>
    </row>
    <row r="7" spans="1:10" ht="47.4" customHeight="1" x14ac:dyDescent="0.3">
      <c r="A7" s="143">
        <v>5</v>
      </c>
      <c r="B7" s="157">
        <v>304</v>
      </c>
      <c r="C7" s="291" t="s">
        <v>253</v>
      </c>
      <c r="D7" s="258"/>
      <c r="E7" s="258"/>
      <c r="F7" s="258"/>
      <c r="G7" s="296" t="s">
        <v>266</v>
      </c>
      <c r="H7" s="297"/>
      <c r="I7" s="143" t="s">
        <v>82</v>
      </c>
      <c r="J7" s="144">
        <f>D47</f>
        <v>66.319999999999993</v>
      </c>
    </row>
    <row r="8" spans="1:10" ht="15.6" x14ac:dyDescent="0.3">
      <c r="A8" s="309" t="s">
        <v>164</v>
      </c>
      <c r="B8" s="309"/>
      <c r="C8" s="309"/>
      <c r="D8" s="309"/>
      <c r="E8" s="309"/>
      <c r="F8" s="309"/>
      <c r="G8" s="309"/>
      <c r="H8" s="310"/>
      <c r="I8" s="143" t="s">
        <v>82</v>
      </c>
      <c r="J8" s="191">
        <f>SUM(J3:J7)</f>
        <v>868.14999999999986</v>
      </c>
    </row>
    <row r="9" spans="1:10" ht="9" customHeight="1" x14ac:dyDescent="0.3">
      <c r="A9" s="259"/>
      <c r="B9" s="259"/>
      <c r="C9" s="259"/>
      <c r="D9" s="259"/>
      <c r="E9" s="259"/>
      <c r="F9" s="259"/>
      <c r="G9" s="259"/>
      <c r="H9" s="259"/>
      <c r="I9" s="259"/>
      <c r="J9" s="259"/>
    </row>
    <row r="10" spans="1:10" ht="15.6" x14ac:dyDescent="0.3">
      <c r="A10" s="176" t="s">
        <v>255</v>
      </c>
      <c r="B10" s="176" t="s">
        <v>256</v>
      </c>
      <c r="C10" s="176" t="s">
        <v>180</v>
      </c>
      <c r="D10" s="176" t="s">
        <v>257</v>
      </c>
      <c r="E10" s="311"/>
      <c r="F10" s="311"/>
      <c r="G10" s="311"/>
      <c r="H10" s="311"/>
      <c r="I10" s="311"/>
      <c r="J10" s="311"/>
    </row>
    <row r="11" spans="1:10" ht="15.6" x14ac:dyDescent="0.3">
      <c r="A11" s="176">
        <v>1</v>
      </c>
      <c r="B11" s="176" t="s">
        <v>128</v>
      </c>
      <c r="C11" s="177" t="s">
        <v>258</v>
      </c>
      <c r="D11" s="176">
        <v>37.799999999999997</v>
      </c>
      <c r="E11" s="311"/>
      <c r="F11" s="311"/>
      <c r="G11" s="311"/>
      <c r="H11" s="311"/>
      <c r="I11" s="311"/>
      <c r="J11" s="311"/>
    </row>
    <row r="12" spans="1:10" ht="15.6" x14ac:dyDescent="0.3">
      <c r="A12" s="176">
        <v>1</v>
      </c>
      <c r="B12" s="176" t="s">
        <v>40</v>
      </c>
      <c r="C12" s="177" t="s">
        <v>258</v>
      </c>
      <c r="D12" s="176">
        <v>37.9</v>
      </c>
      <c r="E12" s="311"/>
      <c r="F12" s="311"/>
      <c r="G12" s="311"/>
      <c r="H12" s="311"/>
      <c r="I12" s="311"/>
      <c r="J12" s="311"/>
    </row>
    <row r="13" spans="1:10" ht="15.6" x14ac:dyDescent="0.3">
      <c r="A13" s="176">
        <v>1</v>
      </c>
      <c r="B13" s="176" t="s">
        <v>122</v>
      </c>
      <c r="C13" s="177" t="s">
        <v>258</v>
      </c>
      <c r="D13" s="176">
        <v>37.799999999999997</v>
      </c>
      <c r="E13" s="311"/>
      <c r="F13" s="311"/>
      <c r="G13" s="311"/>
      <c r="H13" s="311"/>
      <c r="I13" s="311"/>
      <c r="J13" s="311"/>
    </row>
    <row r="14" spans="1:10" ht="15.6" x14ac:dyDescent="0.3">
      <c r="A14" s="307"/>
      <c r="B14" s="308"/>
      <c r="C14" s="178" t="s">
        <v>164</v>
      </c>
      <c r="D14" s="176">
        <f>SUM(D11:D13)</f>
        <v>113.49999999999999</v>
      </c>
      <c r="E14" s="311"/>
      <c r="F14" s="311"/>
      <c r="G14" s="311"/>
      <c r="H14" s="311"/>
      <c r="I14" s="311"/>
      <c r="J14" s="311"/>
    </row>
    <row r="15" spans="1:10" ht="4.8" customHeight="1" x14ac:dyDescent="0.3">
      <c r="A15" s="306"/>
      <c r="B15" s="306"/>
      <c r="C15" s="306"/>
      <c r="D15" s="306"/>
      <c r="E15" s="311"/>
      <c r="F15" s="311"/>
      <c r="G15" s="311"/>
      <c r="H15" s="311"/>
      <c r="I15" s="311"/>
      <c r="J15" s="311"/>
    </row>
    <row r="16" spans="1:10" ht="15.6" x14ac:dyDescent="0.3">
      <c r="A16" s="176" t="s">
        <v>255</v>
      </c>
      <c r="B16" s="176" t="s">
        <v>256</v>
      </c>
      <c r="C16" s="176" t="s">
        <v>180</v>
      </c>
      <c r="D16" s="176" t="s">
        <v>257</v>
      </c>
      <c r="E16" s="311"/>
      <c r="F16" s="311"/>
      <c r="G16" s="311"/>
      <c r="H16" s="311"/>
      <c r="I16" s="311"/>
      <c r="J16" s="311"/>
    </row>
    <row r="17" spans="1:10" ht="15.6" x14ac:dyDescent="0.3">
      <c r="A17" s="176">
        <v>1</v>
      </c>
      <c r="B17" s="176" t="s">
        <v>125</v>
      </c>
      <c r="C17" s="177" t="s">
        <v>259</v>
      </c>
      <c r="D17" s="301">
        <v>171.77</v>
      </c>
      <c r="E17" s="311"/>
      <c r="F17" s="311"/>
      <c r="G17" s="311"/>
      <c r="H17" s="311"/>
      <c r="I17" s="311"/>
      <c r="J17" s="311"/>
    </row>
    <row r="18" spans="1:10" ht="15.6" x14ac:dyDescent="0.3">
      <c r="A18" s="176">
        <v>1</v>
      </c>
      <c r="B18" s="176" t="s">
        <v>126</v>
      </c>
      <c r="C18" s="177" t="s">
        <v>259</v>
      </c>
      <c r="D18" s="302"/>
      <c r="E18" s="311"/>
      <c r="F18" s="311"/>
      <c r="G18" s="311"/>
      <c r="H18" s="311"/>
      <c r="I18" s="311"/>
      <c r="J18" s="311"/>
    </row>
    <row r="19" spans="1:10" ht="15.6" x14ac:dyDescent="0.3">
      <c r="A19" s="176">
        <v>1</v>
      </c>
      <c r="B19" s="176" t="s">
        <v>33</v>
      </c>
      <c r="C19" s="177" t="s">
        <v>259</v>
      </c>
      <c r="D19" s="301">
        <v>171.21</v>
      </c>
      <c r="E19" s="311"/>
      <c r="F19" s="311"/>
      <c r="G19" s="311"/>
      <c r="H19" s="311"/>
      <c r="I19" s="311"/>
      <c r="J19" s="311"/>
    </row>
    <row r="20" spans="1:10" ht="15.6" x14ac:dyDescent="0.3">
      <c r="A20" s="176">
        <v>1</v>
      </c>
      <c r="B20" s="176" t="s">
        <v>34</v>
      </c>
      <c r="C20" s="177" t="s">
        <v>259</v>
      </c>
      <c r="D20" s="302"/>
      <c r="E20" s="311"/>
      <c r="F20" s="311"/>
      <c r="G20" s="311"/>
      <c r="H20" s="311"/>
      <c r="I20" s="311"/>
      <c r="J20" s="311"/>
    </row>
    <row r="21" spans="1:10" ht="15.6" x14ac:dyDescent="0.3">
      <c r="A21" s="176">
        <v>1</v>
      </c>
      <c r="B21" s="176" t="s">
        <v>103</v>
      </c>
      <c r="C21" s="177" t="s">
        <v>259</v>
      </c>
      <c r="D21" s="301">
        <v>169.27</v>
      </c>
      <c r="E21" s="311"/>
      <c r="F21" s="311"/>
      <c r="G21" s="311"/>
      <c r="H21" s="311"/>
      <c r="I21" s="311"/>
      <c r="J21" s="311"/>
    </row>
    <row r="22" spans="1:10" ht="15.6" x14ac:dyDescent="0.3">
      <c r="A22" s="176">
        <v>1</v>
      </c>
      <c r="B22" s="176" t="s">
        <v>104</v>
      </c>
      <c r="C22" s="177" t="s">
        <v>259</v>
      </c>
      <c r="D22" s="302"/>
      <c r="E22" s="311"/>
      <c r="F22" s="311"/>
      <c r="G22" s="311"/>
      <c r="H22" s="311"/>
      <c r="I22" s="311"/>
      <c r="J22" s="311"/>
    </row>
    <row r="23" spans="1:10" ht="15.6" x14ac:dyDescent="0.3">
      <c r="A23" s="307"/>
      <c r="B23" s="308"/>
      <c r="C23" s="178" t="s">
        <v>164</v>
      </c>
      <c r="D23" s="176">
        <f>SUM(D17:D22)</f>
        <v>512.25</v>
      </c>
      <c r="E23" s="311"/>
      <c r="F23" s="311"/>
      <c r="G23" s="311"/>
      <c r="H23" s="311"/>
      <c r="I23" s="311"/>
      <c r="J23" s="311"/>
    </row>
    <row r="24" spans="1:10" ht="8.4" customHeight="1" x14ac:dyDescent="0.3">
      <c r="A24" s="306"/>
      <c r="B24" s="306"/>
      <c r="C24" s="306"/>
      <c r="D24" s="306"/>
      <c r="E24" s="311"/>
      <c r="F24" s="311"/>
      <c r="G24" s="311"/>
      <c r="H24" s="311"/>
      <c r="I24" s="311"/>
      <c r="J24" s="311"/>
    </row>
    <row r="25" spans="1:10" ht="15.6" x14ac:dyDescent="0.3">
      <c r="A25" s="176" t="s">
        <v>255</v>
      </c>
      <c r="B25" s="176" t="s">
        <v>256</v>
      </c>
      <c r="C25" s="176" t="s">
        <v>180</v>
      </c>
      <c r="D25" s="176" t="s">
        <v>257</v>
      </c>
      <c r="E25" s="311"/>
      <c r="F25" s="311"/>
      <c r="G25" s="311"/>
      <c r="H25" s="311"/>
      <c r="I25" s="311"/>
      <c r="J25" s="311"/>
    </row>
    <row r="26" spans="1:10" ht="15.6" x14ac:dyDescent="0.3">
      <c r="A26" s="176">
        <v>1</v>
      </c>
      <c r="B26" s="176" t="s">
        <v>127</v>
      </c>
      <c r="C26" s="177" t="s">
        <v>260</v>
      </c>
      <c r="D26" s="301">
        <v>52.84</v>
      </c>
      <c r="E26" s="311"/>
      <c r="F26" s="311"/>
      <c r="G26" s="311"/>
      <c r="H26" s="311"/>
      <c r="I26" s="311"/>
      <c r="J26" s="311"/>
    </row>
    <row r="27" spans="1:10" ht="15.6" x14ac:dyDescent="0.3">
      <c r="A27" s="176">
        <v>1</v>
      </c>
      <c r="B27" s="176" t="s">
        <v>124</v>
      </c>
      <c r="C27" s="177" t="s">
        <v>260</v>
      </c>
      <c r="D27" s="302"/>
      <c r="E27" s="311"/>
      <c r="F27" s="311"/>
      <c r="G27" s="311"/>
      <c r="H27" s="311"/>
      <c r="I27" s="311"/>
      <c r="J27" s="311"/>
    </row>
    <row r="28" spans="1:10" ht="15.6" x14ac:dyDescent="0.3">
      <c r="A28" s="176">
        <v>1</v>
      </c>
      <c r="B28" s="176" t="s">
        <v>37</v>
      </c>
      <c r="C28" s="177" t="s">
        <v>260</v>
      </c>
      <c r="D28" s="301">
        <v>52.61</v>
      </c>
      <c r="E28" s="311"/>
      <c r="F28" s="311"/>
      <c r="G28" s="311"/>
      <c r="H28" s="311"/>
      <c r="I28" s="311"/>
      <c r="J28" s="311"/>
    </row>
    <row r="29" spans="1:10" ht="15.6" x14ac:dyDescent="0.3">
      <c r="A29" s="176">
        <v>1</v>
      </c>
      <c r="B29" s="176" t="s">
        <v>38</v>
      </c>
      <c r="C29" s="177" t="s">
        <v>260</v>
      </c>
      <c r="D29" s="302"/>
      <c r="E29" s="311"/>
      <c r="F29" s="311"/>
      <c r="G29" s="311"/>
      <c r="H29" s="311"/>
      <c r="I29" s="311"/>
      <c r="J29" s="311"/>
    </row>
    <row r="30" spans="1:10" ht="15.6" x14ac:dyDescent="0.3">
      <c r="A30" s="176">
        <v>1</v>
      </c>
      <c r="B30" s="176" t="s">
        <v>105</v>
      </c>
      <c r="C30" s="177" t="s">
        <v>260</v>
      </c>
      <c r="D30" s="301">
        <v>50.21</v>
      </c>
      <c r="E30" s="311"/>
      <c r="F30" s="311"/>
      <c r="G30" s="311"/>
      <c r="H30" s="311"/>
      <c r="I30" s="311"/>
      <c r="J30" s="311"/>
    </row>
    <row r="31" spans="1:10" ht="15.6" x14ac:dyDescent="0.3">
      <c r="A31" s="176">
        <v>1</v>
      </c>
      <c r="B31" s="176" t="s">
        <v>106</v>
      </c>
      <c r="C31" s="177" t="s">
        <v>260</v>
      </c>
      <c r="D31" s="302"/>
      <c r="E31" s="311"/>
      <c r="F31" s="311"/>
      <c r="G31" s="311"/>
      <c r="H31" s="311"/>
      <c r="I31" s="311"/>
      <c r="J31" s="311"/>
    </row>
    <row r="32" spans="1:10" ht="15.6" x14ac:dyDescent="0.3">
      <c r="A32" s="307"/>
      <c r="B32" s="308"/>
      <c r="C32" s="178" t="s">
        <v>164</v>
      </c>
      <c r="D32" s="176">
        <f>SUM(D26:D31)</f>
        <v>155.66</v>
      </c>
      <c r="E32" s="311"/>
      <c r="F32" s="311"/>
      <c r="G32" s="311"/>
      <c r="H32" s="311"/>
      <c r="I32" s="311"/>
      <c r="J32" s="311"/>
    </row>
    <row r="33" spans="1:10" ht="8.4" customHeight="1" x14ac:dyDescent="0.3">
      <c r="A33" s="306"/>
      <c r="B33" s="306"/>
      <c r="C33" s="306"/>
      <c r="D33" s="306"/>
      <c r="E33" s="311"/>
      <c r="F33" s="311"/>
      <c r="G33" s="311"/>
      <c r="H33" s="311"/>
      <c r="I33" s="311"/>
      <c r="J33" s="311"/>
    </row>
    <row r="34" spans="1:10" ht="15.6" x14ac:dyDescent="0.3">
      <c r="A34" s="176" t="s">
        <v>255</v>
      </c>
      <c r="B34" s="176" t="s">
        <v>256</v>
      </c>
      <c r="C34" s="176" t="s">
        <v>180</v>
      </c>
      <c r="D34" s="176" t="s">
        <v>257</v>
      </c>
      <c r="E34" s="311"/>
      <c r="F34" s="311"/>
      <c r="G34" s="311"/>
      <c r="H34" s="311"/>
      <c r="I34" s="311"/>
      <c r="J34" s="311"/>
    </row>
    <row r="35" spans="1:10" ht="15.6" x14ac:dyDescent="0.3">
      <c r="A35" s="176">
        <v>1</v>
      </c>
      <c r="B35" s="176" t="s">
        <v>126</v>
      </c>
      <c r="C35" s="177" t="s">
        <v>261</v>
      </c>
      <c r="D35" s="176">
        <v>6.11</v>
      </c>
      <c r="E35" s="311"/>
      <c r="F35" s="311"/>
      <c r="G35" s="311"/>
      <c r="H35" s="311"/>
      <c r="I35" s="311"/>
      <c r="J35" s="311"/>
    </row>
    <row r="36" spans="1:10" ht="15.6" x14ac:dyDescent="0.3">
      <c r="A36" s="176">
        <v>1</v>
      </c>
      <c r="B36" s="176" t="s">
        <v>34</v>
      </c>
      <c r="C36" s="177" t="s">
        <v>261</v>
      </c>
      <c r="D36" s="176">
        <v>6.2</v>
      </c>
      <c r="E36" s="311"/>
      <c r="F36" s="311"/>
      <c r="G36" s="311"/>
      <c r="H36" s="311"/>
      <c r="I36" s="311"/>
      <c r="J36" s="311"/>
    </row>
    <row r="37" spans="1:10" ht="15.6" x14ac:dyDescent="0.3">
      <c r="A37" s="176">
        <v>1</v>
      </c>
      <c r="B37" s="176" t="s">
        <v>104</v>
      </c>
      <c r="C37" s="177" t="s">
        <v>261</v>
      </c>
      <c r="D37" s="176">
        <v>8.11</v>
      </c>
      <c r="E37" s="311"/>
      <c r="F37" s="311"/>
      <c r="G37" s="311"/>
      <c r="H37" s="311"/>
      <c r="I37" s="311"/>
      <c r="J37" s="311"/>
    </row>
    <row r="38" spans="1:10" ht="15.6" x14ac:dyDescent="0.3">
      <c r="A38" s="307"/>
      <c r="B38" s="308"/>
      <c r="C38" s="178" t="s">
        <v>164</v>
      </c>
      <c r="D38" s="176">
        <f>SUM(D35:D37)</f>
        <v>20.420000000000002</v>
      </c>
      <c r="E38" s="311"/>
      <c r="F38" s="311"/>
      <c r="G38" s="311"/>
      <c r="H38" s="311"/>
      <c r="I38" s="311"/>
      <c r="J38" s="311"/>
    </row>
    <row r="39" spans="1:10" ht="10.199999999999999" customHeight="1" x14ac:dyDescent="0.3">
      <c r="A39" s="306"/>
      <c r="B39" s="306"/>
      <c r="C39" s="306"/>
      <c r="D39" s="306"/>
      <c r="E39" s="311"/>
      <c r="F39" s="311"/>
      <c r="G39" s="311"/>
      <c r="H39" s="311"/>
      <c r="I39" s="311"/>
      <c r="J39" s="311"/>
    </row>
    <row r="40" spans="1:10" ht="15.6" x14ac:dyDescent="0.3">
      <c r="A40" s="176" t="s">
        <v>255</v>
      </c>
      <c r="B40" s="176" t="s">
        <v>256</v>
      </c>
      <c r="C40" s="176" t="s">
        <v>180</v>
      </c>
      <c r="D40" s="176" t="s">
        <v>257</v>
      </c>
      <c r="E40" s="311"/>
      <c r="F40" s="311"/>
      <c r="G40" s="311"/>
      <c r="H40" s="311"/>
      <c r="I40" s="311"/>
      <c r="J40" s="311"/>
    </row>
    <row r="41" spans="1:10" ht="15.6" x14ac:dyDescent="0.3">
      <c r="A41" s="176">
        <v>1</v>
      </c>
      <c r="B41" s="176" t="s">
        <v>125</v>
      </c>
      <c r="C41" s="177" t="s">
        <v>262</v>
      </c>
      <c r="D41" s="301">
        <v>22.31</v>
      </c>
      <c r="E41" s="311"/>
      <c r="F41" s="311"/>
      <c r="G41" s="311"/>
      <c r="H41" s="311"/>
      <c r="I41" s="311"/>
      <c r="J41" s="311"/>
    </row>
    <row r="42" spans="1:10" ht="15.6" x14ac:dyDescent="0.3">
      <c r="A42" s="176">
        <v>1</v>
      </c>
      <c r="B42" s="176" t="s">
        <v>127</v>
      </c>
      <c r="C42" s="177" t="s">
        <v>262</v>
      </c>
      <c r="D42" s="302"/>
      <c r="E42" s="311"/>
      <c r="F42" s="311"/>
      <c r="G42" s="311"/>
      <c r="H42" s="311"/>
      <c r="I42" s="311"/>
      <c r="J42" s="311"/>
    </row>
    <row r="43" spans="1:10" ht="15.6" x14ac:dyDescent="0.3">
      <c r="A43" s="176">
        <v>1</v>
      </c>
      <c r="B43" s="176" t="s">
        <v>33</v>
      </c>
      <c r="C43" s="177" t="s">
        <v>262</v>
      </c>
      <c r="D43" s="301">
        <v>21.96</v>
      </c>
      <c r="E43" s="311"/>
      <c r="F43" s="311"/>
      <c r="G43" s="311"/>
      <c r="H43" s="311"/>
      <c r="I43" s="311"/>
      <c r="J43" s="311"/>
    </row>
    <row r="44" spans="1:10" ht="15.6" x14ac:dyDescent="0.3">
      <c r="A44" s="176">
        <v>1</v>
      </c>
      <c r="B44" s="176" t="s">
        <v>37</v>
      </c>
      <c r="C44" s="177" t="s">
        <v>262</v>
      </c>
      <c r="D44" s="302"/>
      <c r="E44" s="311"/>
      <c r="F44" s="311"/>
      <c r="G44" s="311"/>
      <c r="H44" s="311"/>
      <c r="I44" s="311"/>
      <c r="J44" s="311"/>
    </row>
    <row r="45" spans="1:10" ht="15.6" x14ac:dyDescent="0.3">
      <c r="A45" s="176">
        <v>1</v>
      </c>
      <c r="B45" s="176" t="s">
        <v>103</v>
      </c>
      <c r="C45" s="177" t="s">
        <v>262</v>
      </c>
      <c r="D45" s="301">
        <v>22.05</v>
      </c>
      <c r="E45" s="311"/>
      <c r="F45" s="311"/>
      <c r="G45" s="311"/>
      <c r="H45" s="311"/>
      <c r="I45" s="311"/>
      <c r="J45" s="311"/>
    </row>
    <row r="46" spans="1:10" ht="15.6" x14ac:dyDescent="0.3">
      <c r="A46" s="176">
        <v>1</v>
      </c>
      <c r="B46" s="176" t="s">
        <v>105</v>
      </c>
      <c r="C46" s="177" t="s">
        <v>262</v>
      </c>
      <c r="D46" s="302"/>
      <c r="E46" s="311"/>
      <c r="F46" s="311"/>
      <c r="G46" s="311"/>
      <c r="H46" s="311"/>
      <c r="I46" s="311"/>
      <c r="J46" s="311"/>
    </row>
    <row r="47" spans="1:10" ht="15.6" x14ac:dyDescent="0.3">
      <c r="A47" s="307"/>
      <c r="B47" s="308"/>
      <c r="C47" s="178" t="s">
        <v>164</v>
      </c>
      <c r="D47" s="176">
        <f>SUM(D41:D46)</f>
        <v>66.319999999999993</v>
      </c>
      <c r="E47" s="311"/>
      <c r="F47" s="311"/>
      <c r="G47" s="311"/>
      <c r="H47" s="311"/>
      <c r="I47" s="311"/>
      <c r="J47" s="311"/>
    </row>
  </sheetData>
  <mergeCells count="34">
    <mergeCell ref="C4:F4"/>
    <mergeCell ref="G4:H4"/>
    <mergeCell ref="A1:J1"/>
    <mergeCell ref="C2:F2"/>
    <mergeCell ref="G2:H2"/>
    <mergeCell ref="C3:F3"/>
    <mergeCell ref="G3:H3"/>
    <mergeCell ref="C5:F5"/>
    <mergeCell ref="G5:H5"/>
    <mergeCell ref="C6:F6"/>
    <mergeCell ref="G6:H6"/>
    <mergeCell ref="C7:F7"/>
    <mergeCell ref="G7:H7"/>
    <mergeCell ref="D26:D27"/>
    <mergeCell ref="D28:D29"/>
    <mergeCell ref="D30:D31"/>
    <mergeCell ref="D41:D42"/>
    <mergeCell ref="D43:D44"/>
    <mergeCell ref="A15:D15"/>
    <mergeCell ref="A14:B14"/>
    <mergeCell ref="D45:D46"/>
    <mergeCell ref="A8:H8"/>
    <mergeCell ref="A47:B47"/>
    <mergeCell ref="A38:B38"/>
    <mergeCell ref="A39:D39"/>
    <mergeCell ref="A33:D33"/>
    <mergeCell ref="A32:B32"/>
    <mergeCell ref="A24:D24"/>
    <mergeCell ref="A23:B23"/>
    <mergeCell ref="A9:J9"/>
    <mergeCell ref="E10:J47"/>
    <mergeCell ref="D17:D18"/>
    <mergeCell ref="D19:D20"/>
    <mergeCell ref="D21:D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zoomScaleNormal="100" zoomScaleSheetLayoutView="30" workbookViewId="0">
      <selection activeCell="B10" sqref="B10"/>
    </sheetView>
  </sheetViews>
  <sheetFormatPr defaultRowHeight="15.6" x14ac:dyDescent="0.3"/>
  <cols>
    <col min="1" max="2" width="7.21875" style="174" customWidth="1"/>
    <col min="3" max="3" width="8.77734375" style="174" customWidth="1"/>
    <col min="4" max="4" width="16.6640625" style="174" customWidth="1"/>
    <col min="5" max="5" width="5.5546875" style="174" customWidth="1"/>
    <col min="6" max="6" width="7.109375" style="174" customWidth="1"/>
    <col min="7" max="7" width="7.6640625" style="174" customWidth="1"/>
    <col min="8" max="8" width="4.5546875" style="174" customWidth="1"/>
    <col min="9" max="9" width="11.6640625" style="174" customWidth="1"/>
    <col min="10" max="10" width="11.77734375" style="174" customWidth="1"/>
    <col min="11" max="11" width="7.5546875" style="174" customWidth="1"/>
    <col min="12" max="12" width="9" style="174" customWidth="1"/>
    <col min="13" max="16384" width="8.88671875" style="174"/>
  </cols>
  <sheetData>
    <row r="1" spans="1:12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 s="175" customFormat="1" ht="31.2" x14ac:dyDescent="0.3">
      <c r="A2" s="141" t="s">
        <v>0</v>
      </c>
      <c r="B2" s="156" t="s">
        <v>203</v>
      </c>
      <c r="C2" s="290" t="s">
        <v>174</v>
      </c>
      <c r="D2" s="279"/>
      <c r="E2" s="279"/>
      <c r="F2" s="279"/>
      <c r="G2" s="279"/>
      <c r="H2" s="280"/>
      <c r="I2" s="294" t="s">
        <v>175</v>
      </c>
      <c r="J2" s="295"/>
      <c r="K2" s="142" t="s">
        <v>15</v>
      </c>
      <c r="L2" s="152" t="s">
        <v>8</v>
      </c>
    </row>
    <row r="3" spans="1:12" ht="49.8" customHeight="1" x14ac:dyDescent="0.3">
      <c r="A3" s="143">
        <v>1</v>
      </c>
      <c r="B3" s="157">
        <v>284</v>
      </c>
      <c r="C3" s="291" t="s">
        <v>253</v>
      </c>
      <c r="D3" s="258"/>
      <c r="E3" s="258"/>
      <c r="F3" s="258"/>
      <c r="G3" s="258"/>
      <c r="H3" s="281"/>
      <c r="I3" s="296" t="s">
        <v>264</v>
      </c>
      <c r="J3" s="297"/>
      <c r="K3" s="143" t="s">
        <v>82</v>
      </c>
      <c r="L3" s="144">
        <f>D13</f>
        <v>113.49999999999999</v>
      </c>
    </row>
    <row r="4" spans="1:12" ht="49.8" customHeight="1" x14ac:dyDescent="0.3">
      <c r="A4" s="143">
        <v>2</v>
      </c>
      <c r="B4" s="157">
        <v>289</v>
      </c>
      <c r="C4" s="291" t="s">
        <v>253</v>
      </c>
      <c r="D4" s="258"/>
      <c r="E4" s="258"/>
      <c r="F4" s="258"/>
      <c r="G4" s="258"/>
      <c r="H4" s="281"/>
      <c r="I4" s="296" t="s">
        <v>254</v>
      </c>
      <c r="J4" s="297"/>
      <c r="K4" s="143" t="s">
        <v>82</v>
      </c>
      <c r="L4" s="144">
        <f>D22</f>
        <v>512.25</v>
      </c>
    </row>
    <row r="5" spans="1:12" ht="49.8" customHeight="1" x14ac:dyDescent="0.3">
      <c r="A5" s="143">
        <v>3</v>
      </c>
      <c r="B5" s="157">
        <v>294</v>
      </c>
      <c r="C5" s="291" t="s">
        <v>253</v>
      </c>
      <c r="D5" s="258"/>
      <c r="E5" s="258"/>
      <c r="F5" s="258"/>
      <c r="G5" s="258"/>
      <c r="H5" s="281"/>
      <c r="I5" s="296" t="s">
        <v>263</v>
      </c>
      <c r="J5" s="297"/>
      <c r="K5" s="143" t="s">
        <v>82</v>
      </c>
      <c r="L5" s="144">
        <f>D31</f>
        <v>155.66</v>
      </c>
    </row>
    <row r="6" spans="1:12" ht="49.8" customHeight="1" x14ac:dyDescent="0.3">
      <c r="A6" s="143">
        <v>4</v>
      </c>
      <c r="B6" s="157">
        <v>299</v>
      </c>
      <c r="C6" s="291" t="s">
        <v>253</v>
      </c>
      <c r="D6" s="258"/>
      <c r="E6" s="258"/>
      <c r="F6" s="258"/>
      <c r="G6" s="258"/>
      <c r="H6" s="281"/>
      <c r="I6" s="296" t="s">
        <v>265</v>
      </c>
      <c r="J6" s="297"/>
      <c r="K6" s="143" t="s">
        <v>82</v>
      </c>
      <c r="L6" s="144">
        <f>D37</f>
        <v>20.420000000000002</v>
      </c>
    </row>
    <row r="7" spans="1:12" ht="49.8" customHeight="1" x14ac:dyDescent="0.3">
      <c r="A7" s="143">
        <v>5</v>
      </c>
      <c r="B7" s="157">
        <v>304</v>
      </c>
      <c r="C7" s="291" t="s">
        <v>253</v>
      </c>
      <c r="D7" s="258"/>
      <c r="E7" s="258"/>
      <c r="F7" s="258"/>
      <c r="G7" s="258"/>
      <c r="H7" s="281"/>
      <c r="I7" s="296" t="s">
        <v>266</v>
      </c>
      <c r="J7" s="297"/>
      <c r="K7" s="143" t="s">
        <v>82</v>
      </c>
      <c r="L7" s="144">
        <f>D46</f>
        <v>66.319999999999993</v>
      </c>
    </row>
    <row r="8" spans="1:12" x14ac:dyDescent="0.3">
      <c r="A8" s="259"/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</row>
    <row r="9" spans="1:12" ht="30.6" customHeight="1" x14ac:dyDescent="0.3">
      <c r="A9" s="176" t="s">
        <v>255</v>
      </c>
      <c r="B9" s="176" t="s">
        <v>256</v>
      </c>
      <c r="C9" s="176" t="s">
        <v>180</v>
      </c>
      <c r="D9" s="176" t="s">
        <v>257</v>
      </c>
      <c r="E9" s="311"/>
      <c r="F9" s="311"/>
      <c r="G9" s="311"/>
      <c r="H9" s="311"/>
      <c r="I9" s="311"/>
      <c r="J9" s="311"/>
      <c r="K9" s="311"/>
      <c r="L9" s="311"/>
    </row>
    <row r="10" spans="1:12" ht="15.6" customHeight="1" x14ac:dyDescent="0.3">
      <c r="A10" s="176">
        <v>1</v>
      </c>
      <c r="B10" s="176" t="s">
        <v>128</v>
      </c>
      <c r="C10" s="177" t="s">
        <v>258</v>
      </c>
      <c r="D10" s="176">
        <v>37.799999999999997</v>
      </c>
      <c r="E10" s="311"/>
      <c r="F10" s="311"/>
      <c r="G10" s="311"/>
      <c r="H10" s="311"/>
      <c r="I10" s="311"/>
      <c r="J10" s="311"/>
      <c r="K10" s="311"/>
      <c r="L10" s="311"/>
    </row>
    <row r="11" spans="1:12" ht="15.6" customHeight="1" x14ac:dyDescent="0.3">
      <c r="A11" s="176">
        <v>1</v>
      </c>
      <c r="B11" s="176" t="s">
        <v>40</v>
      </c>
      <c r="C11" s="177" t="s">
        <v>258</v>
      </c>
      <c r="D11" s="176">
        <v>37.9</v>
      </c>
      <c r="E11" s="311"/>
      <c r="F11" s="311"/>
      <c r="G11" s="311"/>
      <c r="H11" s="311"/>
      <c r="I11" s="311"/>
      <c r="J11" s="311"/>
      <c r="K11" s="311"/>
      <c r="L11" s="311"/>
    </row>
    <row r="12" spans="1:12" ht="15.6" customHeight="1" x14ac:dyDescent="0.3">
      <c r="A12" s="176">
        <v>1</v>
      </c>
      <c r="B12" s="176" t="s">
        <v>122</v>
      </c>
      <c r="C12" s="177" t="s">
        <v>258</v>
      </c>
      <c r="D12" s="176">
        <v>37.799999999999997</v>
      </c>
      <c r="E12" s="311"/>
      <c r="F12" s="311"/>
      <c r="G12" s="311"/>
      <c r="H12" s="311"/>
      <c r="I12" s="311"/>
      <c r="J12" s="311"/>
      <c r="K12" s="311"/>
      <c r="L12" s="311"/>
    </row>
    <row r="13" spans="1:12" ht="15.6" customHeight="1" x14ac:dyDescent="0.3">
      <c r="A13" s="78"/>
      <c r="B13" s="78"/>
      <c r="C13" s="178" t="s">
        <v>164</v>
      </c>
      <c r="D13" s="176">
        <f>SUM(D10:D12)</f>
        <v>113.49999999999999</v>
      </c>
      <c r="E13" s="311"/>
      <c r="F13" s="311"/>
      <c r="G13" s="311"/>
      <c r="H13" s="311"/>
      <c r="I13" s="311"/>
      <c r="J13" s="311"/>
      <c r="K13" s="311"/>
      <c r="L13" s="311"/>
    </row>
    <row r="14" spans="1:12" ht="9.6" customHeight="1" x14ac:dyDescent="0.3">
      <c r="E14" s="311"/>
      <c r="F14" s="311"/>
      <c r="G14" s="311"/>
      <c r="H14" s="311"/>
      <c r="I14" s="311"/>
      <c r="J14" s="311"/>
      <c r="K14" s="311"/>
      <c r="L14" s="311"/>
    </row>
    <row r="15" spans="1:12" x14ac:dyDescent="0.3">
      <c r="A15" s="176" t="s">
        <v>255</v>
      </c>
      <c r="B15" s="176" t="s">
        <v>256</v>
      </c>
      <c r="C15" s="176" t="s">
        <v>180</v>
      </c>
      <c r="D15" s="176" t="s">
        <v>257</v>
      </c>
      <c r="E15" s="311"/>
      <c r="F15" s="311"/>
      <c r="G15" s="311"/>
      <c r="H15" s="311"/>
      <c r="I15" s="311"/>
      <c r="J15" s="311"/>
      <c r="K15" s="311"/>
      <c r="L15" s="311"/>
    </row>
    <row r="16" spans="1:12" x14ac:dyDescent="0.3">
      <c r="A16" s="176">
        <v>1</v>
      </c>
      <c r="B16" s="176" t="s">
        <v>125</v>
      </c>
      <c r="C16" s="177" t="s">
        <v>259</v>
      </c>
      <c r="D16" s="301">
        <v>171.77</v>
      </c>
      <c r="E16" s="311"/>
      <c r="F16" s="311"/>
      <c r="G16" s="311"/>
      <c r="H16" s="311"/>
      <c r="I16" s="311"/>
      <c r="J16" s="311"/>
      <c r="K16" s="311"/>
      <c r="L16" s="311"/>
    </row>
    <row r="17" spans="1:12" x14ac:dyDescent="0.3">
      <c r="A17" s="176">
        <v>1</v>
      </c>
      <c r="B17" s="176" t="s">
        <v>126</v>
      </c>
      <c r="C17" s="177" t="s">
        <v>259</v>
      </c>
      <c r="D17" s="302"/>
      <c r="E17" s="311"/>
      <c r="F17" s="311"/>
      <c r="G17" s="311"/>
      <c r="H17" s="311"/>
      <c r="I17" s="311"/>
      <c r="J17" s="311"/>
      <c r="K17" s="311"/>
      <c r="L17" s="311"/>
    </row>
    <row r="18" spans="1:12" x14ac:dyDescent="0.3">
      <c r="A18" s="176">
        <v>1</v>
      </c>
      <c r="B18" s="176" t="s">
        <v>33</v>
      </c>
      <c r="C18" s="177" t="s">
        <v>259</v>
      </c>
      <c r="D18" s="301">
        <v>171.21</v>
      </c>
      <c r="E18" s="311"/>
      <c r="F18" s="311"/>
      <c r="G18" s="311"/>
      <c r="H18" s="311"/>
      <c r="I18" s="311"/>
      <c r="J18" s="311"/>
      <c r="K18" s="311"/>
      <c r="L18" s="311"/>
    </row>
    <row r="19" spans="1:12" x14ac:dyDescent="0.3">
      <c r="A19" s="176">
        <v>1</v>
      </c>
      <c r="B19" s="176" t="s">
        <v>34</v>
      </c>
      <c r="C19" s="177" t="s">
        <v>259</v>
      </c>
      <c r="D19" s="302"/>
      <c r="E19" s="311"/>
      <c r="F19" s="311"/>
      <c r="G19" s="311"/>
      <c r="H19" s="311"/>
      <c r="I19" s="311"/>
      <c r="J19" s="311"/>
      <c r="K19" s="311"/>
      <c r="L19" s="311"/>
    </row>
    <row r="20" spans="1:12" x14ac:dyDescent="0.3">
      <c r="A20" s="176">
        <v>1</v>
      </c>
      <c r="B20" s="176" t="s">
        <v>103</v>
      </c>
      <c r="C20" s="177" t="s">
        <v>259</v>
      </c>
      <c r="D20" s="301">
        <v>169.27</v>
      </c>
      <c r="E20" s="311"/>
      <c r="F20" s="311"/>
      <c r="G20" s="311"/>
      <c r="H20" s="311"/>
      <c r="I20" s="311"/>
      <c r="J20" s="311"/>
      <c r="K20" s="311"/>
      <c r="L20" s="311"/>
    </row>
    <row r="21" spans="1:12" x14ac:dyDescent="0.3">
      <c r="A21" s="176">
        <v>1</v>
      </c>
      <c r="B21" s="176" t="s">
        <v>104</v>
      </c>
      <c r="C21" s="177" t="s">
        <v>259</v>
      </c>
      <c r="D21" s="302"/>
      <c r="E21" s="311"/>
      <c r="F21" s="311"/>
      <c r="G21" s="311"/>
      <c r="H21" s="311"/>
      <c r="I21" s="311"/>
      <c r="J21" s="311"/>
      <c r="K21" s="311"/>
      <c r="L21" s="311"/>
    </row>
    <row r="22" spans="1:12" x14ac:dyDescent="0.3">
      <c r="A22" s="78"/>
      <c r="B22" s="78"/>
      <c r="C22" s="178" t="s">
        <v>164</v>
      </c>
      <c r="D22" s="176">
        <f>SUM(D16:D21)</f>
        <v>512.25</v>
      </c>
      <c r="E22" s="311"/>
      <c r="F22" s="311"/>
      <c r="G22" s="311"/>
      <c r="H22" s="311"/>
      <c r="I22" s="311"/>
      <c r="J22" s="311"/>
      <c r="K22" s="311"/>
      <c r="L22" s="311"/>
    </row>
    <row r="23" spans="1:12" ht="9" customHeight="1" x14ac:dyDescent="0.3">
      <c r="E23" s="311"/>
      <c r="F23" s="311"/>
      <c r="G23" s="311"/>
      <c r="H23" s="311"/>
      <c r="I23" s="311"/>
      <c r="J23" s="311"/>
      <c r="K23" s="311"/>
      <c r="L23" s="311"/>
    </row>
    <row r="24" spans="1:12" x14ac:dyDescent="0.3">
      <c r="A24" s="176" t="s">
        <v>255</v>
      </c>
      <c r="B24" s="176" t="s">
        <v>256</v>
      </c>
      <c r="C24" s="176" t="s">
        <v>180</v>
      </c>
      <c r="D24" s="176" t="s">
        <v>257</v>
      </c>
      <c r="E24" s="311"/>
      <c r="F24" s="311"/>
      <c r="G24" s="311"/>
      <c r="H24" s="311"/>
      <c r="I24" s="311"/>
      <c r="J24" s="311"/>
      <c r="K24" s="311"/>
      <c r="L24" s="311"/>
    </row>
    <row r="25" spans="1:12" x14ac:dyDescent="0.3">
      <c r="A25" s="176">
        <v>1</v>
      </c>
      <c r="B25" s="176" t="s">
        <v>127</v>
      </c>
      <c r="C25" s="177" t="s">
        <v>260</v>
      </c>
      <c r="D25" s="301">
        <v>52.84</v>
      </c>
      <c r="E25" s="311"/>
      <c r="F25" s="311"/>
      <c r="G25" s="311"/>
      <c r="H25" s="311"/>
      <c r="I25" s="311"/>
      <c r="J25" s="311"/>
      <c r="K25" s="311"/>
      <c r="L25" s="311"/>
    </row>
    <row r="26" spans="1:12" x14ac:dyDescent="0.3">
      <c r="A26" s="176">
        <v>1</v>
      </c>
      <c r="B26" s="176" t="s">
        <v>124</v>
      </c>
      <c r="C26" s="177" t="s">
        <v>260</v>
      </c>
      <c r="D26" s="302"/>
      <c r="E26" s="311"/>
      <c r="F26" s="311"/>
      <c r="G26" s="311"/>
      <c r="H26" s="311"/>
      <c r="I26" s="311"/>
      <c r="J26" s="311"/>
      <c r="K26" s="311"/>
      <c r="L26" s="311"/>
    </row>
    <row r="27" spans="1:12" x14ac:dyDescent="0.3">
      <c r="A27" s="176">
        <v>1</v>
      </c>
      <c r="B27" s="176" t="s">
        <v>37</v>
      </c>
      <c r="C27" s="177" t="s">
        <v>260</v>
      </c>
      <c r="D27" s="301">
        <v>52.61</v>
      </c>
      <c r="E27" s="311"/>
      <c r="F27" s="311"/>
      <c r="G27" s="311"/>
      <c r="H27" s="311"/>
      <c r="I27" s="311"/>
      <c r="J27" s="311"/>
      <c r="K27" s="311"/>
      <c r="L27" s="311"/>
    </row>
    <row r="28" spans="1:12" x14ac:dyDescent="0.3">
      <c r="A28" s="176">
        <v>1</v>
      </c>
      <c r="B28" s="176" t="s">
        <v>38</v>
      </c>
      <c r="C28" s="177" t="s">
        <v>260</v>
      </c>
      <c r="D28" s="302"/>
      <c r="E28" s="311"/>
      <c r="F28" s="311"/>
      <c r="G28" s="311"/>
      <c r="H28" s="311"/>
      <c r="I28" s="311"/>
      <c r="J28" s="311"/>
      <c r="K28" s="311"/>
      <c r="L28" s="311"/>
    </row>
    <row r="29" spans="1:12" x14ac:dyDescent="0.3">
      <c r="A29" s="176">
        <v>1</v>
      </c>
      <c r="B29" s="176" t="s">
        <v>105</v>
      </c>
      <c r="C29" s="177" t="s">
        <v>260</v>
      </c>
      <c r="D29" s="301">
        <v>50.21</v>
      </c>
      <c r="E29" s="311"/>
      <c r="F29" s="311"/>
      <c r="G29" s="311"/>
      <c r="H29" s="311"/>
      <c r="I29" s="311"/>
      <c r="J29" s="311"/>
      <c r="K29" s="311"/>
      <c r="L29" s="311"/>
    </row>
    <row r="30" spans="1:12" x14ac:dyDescent="0.3">
      <c r="A30" s="176">
        <v>1</v>
      </c>
      <c r="B30" s="176" t="s">
        <v>106</v>
      </c>
      <c r="C30" s="177" t="s">
        <v>260</v>
      </c>
      <c r="D30" s="302"/>
      <c r="E30" s="311"/>
      <c r="F30" s="311"/>
      <c r="G30" s="311"/>
      <c r="H30" s="311"/>
      <c r="I30" s="311"/>
      <c r="J30" s="311"/>
      <c r="K30" s="311"/>
      <c r="L30" s="311"/>
    </row>
    <row r="31" spans="1:12" x14ac:dyDescent="0.3">
      <c r="A31" s="78"/>
      <c r="B31" s="78"/>
      <c r="C31" s="178" t="s">
        <v>164</v>
      </c>
      <c r="D31" s="176">
        <f>SUM(D25:D30)</f>
        <v>155.66</v>
      </c>
      <c r="E31" s="311"/>
      <c r="F31" s="311"/>
      <c r="G31" s="311"/>
      <c r="H31" s="311"/>
      <c r="I31" s="311"/>
      <c r="J31" s="311"/>
      <c r="K31" s="311"/>
      <c r="L31" s="311"/>
    </row>
    <row r="32" spans="1:12" x14ac:dyDescent="0.3">
      <c r="E32" s="311"/>
      <c r="F32" s="311"/>
      <c r="G32" s="311"/>
      <c r="H32" s="311"/>
      <c r="I32" s="311"/>
      <c r="J32" s="311"/>
      <c r="K32" s="311"/>
      <c r="L32" s="311"/>
    </row>
    <row r="33" spans="1:12" x14ac:dyDescent="0.3">
      <c r="A33" s="176" t="s">
        <v>255</v>
      </c>
      <c r="B33" s="176" t="s">
        <v>256</v>
      </c>
      <c r="C33" s="176" t="s">
        <v>180</v>
      </c>
      <c r="D33" s="176" t="s">
        <v>257</v>
      </c>
      <c r="E33" s="311"/>
      <c r="F33" s="311"/>
      <c r="G33" s="311"/>
      <c r="H33" s="311"/>
      <c r="I33" s="311"/>
      <c r="J33" s="311"/>
      <c r="K33" s="311"/>
      <c r="L33" s="311"/>
    </row>
    <row r="34" spans="1:12" x14ac:dyDescent="0.3">
      <c r="A34" s="176">
        <v>1</v>
      </c>
      <c r="B34" s="176" t="s">
        <v>126</v>
      </c>
      <c r="C34" s="177" t="s">
        <v>261</v>
      </c>
      <c r="D34" s="176">
        <v>6.11</v>
      </c>
      <c r="E34" s="311"/>
      <c r="F34" s="311"/>
      <c r="G34" s="311"/>
      <c r="H34" s="311"/>
      <c r="I34" s="311"/>
      <c r="J34" s="311"/>
      <c r="K34" s="311"/>
      <c r="L34" s="311"/>
    </row>
    <row r="35" spans="1:12" x14ac:dyDescent="0.3">
      <c r="A35" s="176">
        <v>1</v>
      </c>
      <c r="B35" s="176" t="s">
        <v>34</v>
      </c>
      <c r="C35" s="177" t="s">
        <v>261</v>
      </c>
      <c r="D35" s="176">
        <v>6.2</v>
      </c>
      <c r="E35" s="311"/>
      <c r="F35" s="311"/>
      <c r="G35" s="311"/>
      <c r="H35" s="311"/>
      <c r="I35" s="311"/>
      <c r="J35" s="311"/>
      <c r="K35" s="311"/>
      <c r="L35" s="311"/>
    </row>
    <row r="36" spans="1:12" x14ac:dyDescent="0.3">
      <c r="A36" s="176">
        <v>1</v>
      </c>
      <c r="B36" s="176" t="s">
        <v>104</v>
      </c>
      <c r="C36" s="177" t="s">
        <v>261</v>
      </c>
      <c r="D36" s="176">
        <v>8.11</v>
      </c>
      <c r="E36" s="311"/>
      <c r="F36" s="311"/>
      <c r="G36" s="311"/>
      <c r="H36" s="311"/>
      <c r="I36" s="311"/>
      <c r="J36" s="311"/>
      <c r="K36" s="311"/>
      <c r="L36" s="311"/>
    </row>
    <row r="37" spans="1:12" x14ac:dyDescent="0.3">
      <c r="A37" s="78"/>
      <c r="B37" s="78"/>
      <c r="C37" s="178" t="s">
        <v>164</v>
      </c>
      <c r="D37" s="176">
        <f>SUM(D34:D36)</f>
        <v>20.420000000000002</v>
      </c>
      <c r="E37" s="311"/>
      <c r="F37" s="311"/>
      <c r="G37" s="311"/>
      <c r="H37" s="311"/>
      <c r="I37" s="311"/>
      <c r="J37" s="311"/>
      <c r="K37" s="311"/>
      <c r="L37" s="311"/>
    </row>
    <row r="38" spans="1:12" x14ac:dyDescent="0.3">
      <c r="E38" s="311"/>
      <c r="F38" s="311"/>
      <c r="G38" s="311"/>
      <c r="H38" s="311"/>
      <c r="I38" s="311"/>
      <c r="J38" s="311"/>
      <c r="K38" s="311"/>
      <c r="L38" s="311"/>
    </row>
    <row r="39" spans="1:12" x14ac:dyDescent="0.3">
      <c r="A39" s="176" t="s">
        <v>255</v>
      </c>
      <c r="B39" s="176" t="s">
        <v>256</v>
      </c>
      <c r="C39" s="176" t="s">
        <v>180</v>
      </c>
      <c r="D39" s="176" t="s">
        <v>257</v>
      </c>
      <c r="E39" s="311"/>
      <c r="F39" s="311"/>
      <c r="G39" s="311"/>
      <c r="H39" s="311"/>
      <c r="I39" s="311"/>
      <c r="J39" s="311"/>
      <c r="K39" s="311"/>
      <c r="L39" s="311"/>
    </row>
    <row r="40" spans="1:12" x14ac:dyDescent="0.3">
      <c r="A40" s="176">
        <v>1</v>
      </c>
      <c r="B40" s="176" t="s">
        <v>125</v>
      </c>
      <c r="C40" s="177" t="s">
        <v>262</v>
      </c>
      <c r="D40" s="301">
        <v>22.31</v>
      </c>
      <c r="E40" s="311"/>
      <c r="F40" s="311"/>
      <c r="G40" s="311"/>
      <c r="H40" s="311"/>
      <c r="I40" s="311"/>
      <c r="J40" s="311"/>
      <c r="K40" s="311"/>
      <c r="L40" s="311"/>
    </row>
    <row r="41" spans="1:12" x14ac:dyDescent="0.3">
      <c r="A41" s="176">
        <v>1</v>
      </c>
      <c r="B41" s="176" t="s">
        <v>127</v>
      </c>
      <c r="C41" s="177" t="s">
        <v>262</v>
      </c>
      <c r="D41" s="302"/>
      <c r="E41" s="311"/>
      <c r="F41" s="311"/>
      <c r="G41" s="311"/>
      <c r="H41" s="311"/>
      <c r="I41" s="311"/>
      <c r="J41" s="311"/>
      <c r="K41" s="311"/>
      <c r="L41" s="311"/>
    </row>
    <row r="42" spans="1:12" x14ac:dyDescent="0.3">
      <c r="A42" s="176">
        <v>1</v>
      </c>
      <c r="B42" s="176" t="s">
        <v>33</v>
      </c>
      <c r="C42" s="177" t="s">
        <v>262</v>
      </c>
      <c r="D42" s="301">
        <v>21.96</v>
      </c>
      <c r="E42" s="311"/>
      <c r="F42" s="311"/>
      <c r="G42" s="311"/>
      <c r="H42" s="311"/>
      <c r="I42" s="311"/>
      <c r="J42" s="311"/>
      <c r="K42" s="311"/>
      <c r="L42" s="311"/>
    </row>
    <row r="43" spans="1:12" x14ac:dyDescent="0.3">
      <c r="A43" s="176">
        <v>1</v>
      </c>
      <c r="B43" s="176" t="s">
        <v>37</v>
      </c>
      <c r="C43" s="177" t="s">
        <v>262</v>
      </c>
      <c r="D43" s="302"/>
      <c r="E43" s="311"/>
      <c r="F43" s="311"/>
      <c r="G43" s="311"/>
      <c r="H43" s="311"/>
      <c r="I43" s="311"/>
      <c r="J43" s="311"/>
      <c r="K43" s="311"/>
      <c r="L43" s="311"/>
    </row>
    <row r="44" spans="1:12" x14ac:dyDescent="0.3">
      <c r="A44" s="176">
        <v>1</v>
      </c>
      <c r="B44" s="176" t="s">
        <v>103</v>
      </c>
      <c r="C44" s="177" t="s">
        <v>262</v>
      </c>
      <c r="D44" s="301">
        <v>22.05</v>
      </c>
      <c r="E44" s="311"/>
      <c r="F44" s="311"/>
      <c r="G44" s="311"/>
      <c r="H44" s="311"/>
      <c r="I44" s="311"/>
      <c r="J44" s="311"/>
      <c r="K44" s="311"/>
      <c r="L44" s="311"/>
    </row>
    <row r="45" spans="1:12" x14ac:dyDescent="0.3">
      <c r="A45" s="176">
        <v>1</v>
      </c>
      <c r="B45" s="176" t="s">
        <v>105</v>
      </c>
      <c r="C45" s="177" t="s">
        <v>262</v>
      </c>
      <c r="D45" s="302"/>
      <c r="E45" s="311"/>
      <c r="F45" s="311"/>
      <c r="G45" s="311"/>
      <c r="H45" s="311"/>
      <c r="I45" s="311"/>
      <c r="J45" s="311"/>
      <c r="K45" s="311"/>
      <c r="L45" s="311"/>
    </row>
    <row r="46" spans="1:12" x14ac:dyDescent="0.3">
      <c r="A46" s="78"/>
      <c r="B46" s="78"/>
      <c r="C46" s="178" t="s">
        <v>164</v>
      </c>
      <c r="D46" s="176">
        <f>SUM(D40:D45)</f>
        <v>66.319999999999993</v>
      </c>
      <c r="E46" s="311"/>
      <c r="F46" s="311"/>
      <c r="G46" s="311"/>
      <c r="H46" s="311"/>
      <c r="I46" s="311"/>
      <c r="J46" s="311"/>
      <c r="K46" s="311"/>
      <c r="L46" s="311"/>
    </row>
  </sheetData>
  <mergeCells count="24">
    <mergeCell ref="A8:L8"/>
    <mergeCell ref="C7:H7"/>
    <mergeCell ref="I7:J7"/>
    <mergeCell ref="A1:L1"/>
    <mergeCell ref="C2:H2"/>
    <mergeCell ref="I2:J2"/>
    <mergeCell ref="C3:H3"/>
    <mergeCell ref="I3:J3"/>
    <mergeCell ref="C4:H4"/>
    <mergeCell ref="I4:J4"/>
    <mergeCell ref="C5:H5"/>
    <mergeCell ref="I5:J5"/>
    <mergeCell ref="C6:H6"/>
    <mergeCell ref="I6:J6"/>
    <mergeCell ref="D44:D45"/>
    <mergeCell ref="D42:D43"/>
    <mergeCell ref="D40:D41"/>
    <mergeCell ref="E9:L46"/>
    <mergeCell ref="D20:D21"/>
    <mergeCell ref="D18:D19"/>
    <mergeCell ref="D16:D17"/>
    <mergeCell ref="D29:D30"/>
    <mergeCell ref="D27:D28"/>
    <mergeCell ref="D25:D26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opLeftCell="A29" zoomScale="85" zoomScaleNormal="85" workbookViewId="0">
      <selection activeCell="I45" sqref="I45"/>
    </sheetView>
  </sheetViews>
  <sheetFormatPr defaultRowHeight="14.4" x14ac:dyDescent="0.3"/>
  <cols>
    <col min="1" max="1" width="6.33203125" style="140" customWidth="1"/>
    <col min="2" max="2" width="11.77734375" style="140" customWidth="1"/>
    <col min="3" max="3" width="10.21875" style="140" customWidth="1"/>
    <col min="4" max="4" width="10" style="140" customWidth="1"/>
    <col min="5" max="5" width="11.6640625" style="140" customWidth="1"/>
    <col min="6" max="6" width="10.33203125" style="140" customWidth="1"/>
    <col min="7" max="7" width="11.44140625" style="140" customWidth="1"/>
    <col min="8" max="16384" width="8.88671875" style="140"/>
  </cols>
  <sheetData>
    <row r="1" spans="1:7" ht="15.6" x14ac:dyDescent="0.3">
      <c r="A1" s="277" t="s">
        <v>316</v>
      </c>
      <c r="B1" s="278"/>
      <c r="C1" s="278"/>
      <c r="D1" s="278"/>
      <c r="E1" s="278"/>
      <c r="F1" s="278"/>
      <c r="G1" s="278"/>
    </row>
    <row r="2" spans="1:7" s="153" customFormat="1" ht="15.6" x14ac:dyDescent="0.3">
      <c r="A2" s="141" t="s">
        <v>0</v>
      </c>
      <c r="B2" s="290" t="s">
        <v>174</v>
      </c>
      <c r="C2" s="279"/>
      <c r="D2" s="279"/>
      <c r="E2" s="280"/>
      <c r="F2" s="142" t="s">
        <v>15</v>
      </c>
      <c r="G2" s="152" t="s">
        <v>8</v>
      </c>
    </row>
    <row r="3" spans="1:7" s="181" customFormat="1" ht="33" customHeight="1" x14ac:dyDescent="0.3">
      <c r="A3" s="179">
        <v>1</v>
      </c>
      <c r="B3" s="291" t="s">
        <v>278</v>
      </c>
      <c r="C3" s="258"/>
      <c r="D3" s="258"/>
      <c r="E3" s="281"/>
      <c r="F3" s="179" t="s">
        <v>82</v>
      </c>
      <c r="G3" s="180">
        <f>G23+G41+G58</f>
        <v>111.60849999999999</v>
      </c>
    </row>
    <row r="4" spans="1:7" ht="15.6" customHeight="1" x14ac:dyDescent="0.3">
      <c r="A4" s="143">
        <v>2</v>
      </c>
      <c r="B4" s="291" t="s">
        <v>279</v>
      </c>
      <c r="C4" s="258"/>
      <c r="D4" s="258"/>
      <c r="E4" s="281"/>
      <c r="F4" s="143" t="s">
        <v>82</v>
      </c>
      <c r="G4" s="144">
        <f>G3</f>
        <v>111.60849999999999</v>
      </c>
    </row>
    <row r="5" spans="1:7" ht="49.8" customHeight="1" x14ac:dyDescent="0.3">
      <c r="A5" s="143">
        <v>3</v>
      </c>
      <c r="B5" s="291" t="s">
        <v>280</v>
      </c>
      <c r="C5" s="258"/>
      <c r="D5" s="258"/>
      <c r="E5" s="281"/>
      <c r="F5" s="143" t="s">
        <v>82</v>
      </c>
      <c r="G5" s="144">
        <f>G3</f>
        <v>111.60849999999999</v>
      </c>
    </row>
    <row r="6" spans="1:7" ht="43.8" customHeight="1" x14ac:dyDescent="0.3">
      <c r="A6" s="143">
        <v>4</v>
      </c>
      <c r="B6" s="291" t="s">
        <v>281</v>
      </c>
      <c r="C6" s="258"/>
      <c r="D6" s="258"/>
      <c r="E6" s="281"/>
      <c r="F6" s="143" t="s">
        <v>82</v>
      </c>
      <c r="G6" s="144">
        <f>G3</f>
        <v>111.60849999999999</v>
      </c>
    </row>
    <row r="7" spans="1:7" ht="15.6" x14ac:dyDescent="0.3">
      <c r="A7" s="259"/>
      <c r="B7" s="259"/>
      <c r="C7" s="259"/>
      <c r="D7" s="259"/>
      <c r="E7" s="259"/>
      <c r="F7" s="259"/>
      <c r="G7" s="259"/>
    </row>
    <row r="8" spans="1:7" ht="15.6" customHeight="1" x14ac:dyDescent="0.3">
      <c r="A8" s="312" t="s">
        <v>286</v>
      </c>
      <c r="B8" s="313"/>
      <c r="C8" s="313"/>
      <c r="D8" s="313"/>
      <c r="E8" s="313"/>
      <c r="F8" s="313"/>
      <c r="G8" s="313"/>
    </row>
    <row r="9" spans="1:7" ht="34.200000000000003" customHeight="1" x14ac:dyDescent="0.3">
      <c r="A9" s="169" t="s">
        <v>244</v>
      </c>
      <c r="B9" s="169" t="s">
        <v>180</v>
      </c>
      <c r="C9" s="169" t="s">
        <v>283</v>
      </c>
      <c r="D9" s="169" t="s">
        <v>282</v>
      </c>
      <c r="E9" s="169" t="s">
        <v>284</v>
      </c>
      <c r="F9" s="169" t="s">
        <v>285</v>
      </c>
      <c r="G9" s="169" t="s">
        <v>177</v>
      </c>
    </row>
    <row r="10" spans="1:7" ht="15.6" customHeight="1" x14ac:dyDescent="0.3">
      <c r="A10" s="183">
        <v>1</v>
      </c>
      <c r="B10" s="183" t="s">
        <v>298</v>
      </c>
      <c r="C10" s="184">
        <v>2.9</v>
      </c>
      <c r="D10" s="184">
        <v>2.9</v>
      </c>
      <c r="E10" s="185">
        <v>0.13500000000000001</v>
      </c>
      <c r="F10" s="186">
        <v>8</v>
      </c>
      <c r="G10" s="184">
        <f>(D10+C10*2)*E10*F10</f>
        <v>9.395999999999999</v>
      </c>
    </row>
    <row r="11" spans="1:7" x14ac:dyDescent="0.3">
      <c r="A11" s="183">
        <v>1</v>
      </c>
      <c r="B11" s="183">
        <v>3</v>
      </c>
      <c r="C11" s="184">
        <v>1.9</v>
      </c>
      <c r="D11" s="184">
        <v>0.7</v>
      </c>
      <c r="E11" s="185">
        <v>0.12</v>
      </c>
      <c r="F11" s="186">
        <v>9</v>
      </c>
      <c r="G11" s="184">
        <f>(D11+C11*2)*E11*F11</f>
        <v>4.8600000000000003</v>
      </c>
    </row>
    <row r="12" spans="1:7" ht="15.6" customHeight="1" x14ac:dyDescent="0.3">
      <c r="A12" s="183">
        <v>1</v>
      </c>
      <c r="B12" s="183" t="s">
        <v>293</v>
      </c>
      <c r="C12" s="184">
        <v>2.8</v>
      </c>
      <c r="D12" s="184">
        <v>3.1</v>
      </c>
      <c r="E12" s="185">
        <v>0.13</v>
      </c>
      <c r="F12" s="186">
        <v>2</v>
      </c>
      <c r="G12" s="184">
        <f t="shared" ref="G12:G22" si="0">(D12+C12*2)*E12*F12</f>
        <v>2.262</v>
      </c>
    </row>
    <row r="13" spans="1:7" ht="15.6" customHeight="1" x14ac:dyDescent="0.3">
      <c r="A13" s="183">
        <v>1</v>
      </c>
      <c r="B13" s="183" t="s">
        <v>309</v>
      </c>
      <c r="C13" s="184">
        <v>2.8</v>
      </c>
      <c r="D13" s="184">
        <v>2</v>
      </c>
      <c r="E13" s="185">
        <v>0.13</v>
      </c>
      <c r="F13" s="186">
        <v>1</v>
      </c>
      <c r="G13" s="184">
        <f t="shared" si="0"/>
        <v>0.98799999999999999</v>
      </c>
    </row>
    <row r="14" spans="1:7" ht="15.6" customHeight="1" x14ac:dyDescent="0.3">
      <c r="A14" s="183">
        <v>1</v>
      </c>
      <c r="B14" s="183" t="s">
        <v>299</v>
      </c>
      <c r="C14" s="184">
        <v>2.8</v>
      </c>
      <c r="D14" s="184">
        <v>1.65</v>
      </c>
      <c r="E14" s="185">
        <v>0.13</v>
      </c>
      <c r="F14" s="186">
        <v>3</v>
      </c>
      <c r="G14" s="184">
        <f t="shared" si="0"/>
        <v>2.8275000000000001</v>
      </c>
    </row>
    <row r="15" spans="1:7" ht="15.6" customHeight="1" x14ac:dyDescent="0.3">
      <c r="A15" s="183">
        <v>1</v>
      </c>
      <c r="B15" s="183" t="s">
        <v>292</v>
      </c>
      <c r="C15" s="184">
        <v>3.8</v>
      </c>
      <c r="D15" s="184">
        <v>3.47</v>
      </c>
      <c r="E15" s="185">
        <v>0.25</v>
      </c>
      <c r="F15" s="186">
        <v>1</v>
      </c>
      <c r="G15" s="184">
        <f t="shared" si="0"/>
        <v>2.7675000000000001</v>
      </c>
    </row>
    <row r="16" spans="1:7" ht="15.6" customHeight="1" x14ac:dyDescent="0.3">
      <c r="A16" s="183">
        <v>1</v>
      </c>
      <c r="B16" s="183" t="s">
        <v>294</v>
      </c>
      <c r="C16" s="184">
        <v>2.1</v>
      </c>
      <c r="D16" s="184">
        <v>3.6</v>
      </c>
      <c r="E16" s="185">
        <v>0.13</v>
      </c>
      <c r="F16" s="186">
        <v>1</v>
      </c>
      <c r="G16" s="184">
        <f t="shared" si="0"/>
        <v>1.0140000000000002</v>
      </c>
    </row>
    <row r="17" spans="1:7" ht="15.6" customHeight="1" x14ac:dyDescent="0.3">
      <c r="A17" s="183">
        <v>1</v>
      </c>
      <c r="B17" s="183" t="s">
        <v>296</v>
      </c>
      <c r="C17" s="184">
        <v>2.1</v>
      </c>
      <c r="D17" s="184">
        <v>1.53</v>
      </c>
      <c r="E17" s="185">
        <v>0.13</v>
      </c>
      <c r="F17" s="186">
        <v>4</v>
      </c>
      <c r="G17" s="184">
        <f t="shared" si="0"/>
        <v>2.9796000000000005</v>
      </c>
    </row>
    <row r="18" spans="1:7" ht="15.6" customHeight="1" x14ac:dyDescent="0.3">
      <c r="A18" s="183">
        <v>1</v>
      </c>
      <c r="B18" s="183" t="s">
        <v>295</v>
      </c>
      <c r="C18" s="184">
        <v>2.1</v>
      </c>
      <c r="D18" s="184">
        <v>2</v>
      </c>
      <c r="E18" s="185">
        <v>0.26</v>
      </c>
      <c r="F18" s="186">
        <v>3</v>
      </c>
      <c r="G18" s="184">
        <f t="shared" si="0"/>
        <v>4.8360000000000003</v>
      </c>
    </row>
    <row r="19" spans="1:7" ht="15.6" customHeight="1" x14ac:dyDescent="0.3">
      <c r="A19" s="183">
        <v>1</v>
      </c>
      <c r="B19" s="183" t="s">
        <v>289</v>
      </c>
      <c r="C19" s="184">
        <v>2.8</v>
      </c>
      <c r="D19" s="184">
        <v>1.1000000000000001</v>
      </c>
      <c r="E19" s="185">
        <v>0.13500000000000001</v>
      </c>
      <c r="F19" s="186">
        <v>4</v>
      </c>
      <c r="G19" s="184">
        <f t="shared" si="0"/>
        <v>3.6179999999999999</v>
      </c>
    </row>
    <row r="20" spans="1:7" ht="15.6" customHeight="1" x14ac:dyDescent="0.3">
      <c r="A20" s="183">
        <v>1</v>
      </c>
      <c r="B20" s="183" t="s">
        <v>297</v>
      </c>
      <c r="C20" s="184">
        <v>2.1</v>
      </c>
      <c r="D20" s="184">
        <v>1.1000000000000001</v>
      </c>
      <c r="E20" s="185">
        <v>0.13</v>
      </c>
      <c r="F20" s="186">
        <v>1</v>
      </c>
      <c r="G20" s="184">
        <f t="shared" si="0"/>
        <v>0.68900000000000017</v>
      </c>
    </row>
    <row r="21" spans="1:7" ht="15.6" customHeight="1" x14ac:dyDescent="0.3">
      <c r="A21" s="183">
        <v>1</v>
      </c>
      <c r="B21" s="183" t="s">
        <v>290</v>
      </c>
      <c r="C21" s="184">
        <v>2.1</v>
      </c>
      <c r="D21" s="184">
        <v>1.5</v>
      </c>
      <c r="E21" s="185">
        <v>0.13</v>
      </c>
      <c r="F21" s="186">
        <v>1</v>
      </c>
      <c r="G21" s="184">
        <f t="shared" si="0"/>
        <v>0.7410000000000001</v>
      </c>
    </row>
    <row r="22" spans="1:7" ht="15.6" customHeight="1" x14ac:dyDescent="0.3">
      <c r="A22" s="183">
        <v>1</v>
      </c>
      <c r="B22" s="187" t="s">
        <v>291</v>
      </c>
      <c r="C22" s="184">
        <v>2.1</v>
      </c>
      <c r="D22" s="184">
        <v>1.8</v>
      </c>
      <c r="E22" s="185">
        <v>0.13</v>
      </c>
      <c r="F22" s="186">
        <v>3</v>
      </c>
      <c r="G22" s="184">
        <f t="shared" si="0"/>
        <v>2.34</v>
      </c>
    </row>
    <row r="23" spans="1:7" ht="15.6" customHeight="1" x14ac:dyDescent="0.3">
      <c r="A23" s="287"/>
      <c r="B23" s="287"/>
      <c r="C23" s="287"/>
      <c r="D23" s="287"/>
      <c r="E23" s="287"/>
      <c r="F23" s="314"/>
      <c r="G23" s="182">
        <f>SUM(G10:G22)</f>
        <v>39.318600000000004</v>
      </c>
    </row>
    <row r="24" spans="1:7" ht="15.6" x14ac:dyDescent="0.3">
      <c r="A24" s="259"/>
      <c r="B24" s="259"/>
      <c r="C24" s="259"/>
      <c r="D24" s="259"/>
      <c r="E24" s="259"/>
      <c r="F24" s="259"/>
      <c r="G24" s="259"/>
    </row>
    <row r="25" spans="1:7" ht="15.6" x14ac:dyDescent="0.3">
      <c r="A25" s="312" t="s">
        <v>287</v>
      </c>
      <c r="B25" s="313"/>
      <c r="C25" s="313"/>
      <c r="D25" s="313"/>
      <c r="E25" s="313"/>
      <c r="F25" s="313"/>
      <c r="G25" s="313"/>
    </row>
    <row r="26" spans="1:7" ht="31.2" x14ac:dyDescent="0.3">
      <c r="A26" s="169" t="s">
        <v>244</v>
      </c>
      <c r="B26" s="169" t="s">
        <v>180</v>
      </c>
      <c r="C26" s="169" t="s">
        <v>283</v>
      </c>
      <c r="D26" s="169" t="s">
        <v>282</v>
      </c>
      <c r="E26" s="169" t="s">
        <v>284</v>
      </c>
      <c r="F26" s="169" t="s">
        <v>285</v>
      </c>
      <c r="G26" s="169" t="s">
        <v>177</v>
      </c>
    </row>
    <row r="27" spans="1:7" x14ac:dyDescent="0.3">
      <c r="A27" s="183">
        <v>2</v>
      </c>
      <c r="B27" s="183" t="s">
        <v>298</v>
      </c>
      <c r="C27" s="184">
        <v>2.9</v>
      </c>
      <c r="D27" s="184">
        <v>2.9</v>
      </c>
      <c r="E27" s="185">
        <v>0.13500000000000001</v>
      </c>
      <c r="F27" s="186">
        <v>7</v>
      </c>
      <c r="G27" s="184">
        <f>(D27+C27*2)*E27*F27</f>
        <v>8.2214999999999989</v>
      </c>
    </row>
    <row r="28" spans="1:7" x14ac:dyDescent="0.3">
      <c r="A28" s="183">
        <v>2</v>
      </c>
      <c r="B28" s="183">
        <v>3</v>
      </c>
      <c r="C28" s="184">
        <v>1.9</v>
      </c>
      <c r="D28" s="184">
        <v>0.7</v>
      </c>
      <c r="E28" s="185">
        <v>0.12</v>
      </c>
      <c r="F28" s="186">
        <v>9</v>
      </c>
      <c r="G28" s="184">
        <f t="shared" ref="G28:G40" si="1">(D28+C28*2)*E28*F28</f>
        <v>4.8600000000000003</v>
      </c>
    </row>
    <row r="29" spans="1:7" ht="15.6" customHeight="1" x14ac:dyDescent="0.3">
      <c r="A29" s="183">
        <v>1</v>
      </c>
      <c r="B29" s="183" t="s">
        <v>309</v>
      </c>
      <c r="C29" s="184">
        <v>2.8</v>
      </c>
      <c r="D29" s="184">
        <v>2</v>
      </c>
      <c r="E29" s="185">
        <v>0.13</v>
      </c>
      <c r="F29" s="186">
        <v>1</v>
      </c>
      <c r="G29" s="184">
        <f t="shared" si="1"/>
        <v>0.98799999999999999</v>
      </c>
    </row>
    <row r="30" spans="1:7" x14ac:dyDescent="0.3">
      <c r="A30" s="183">
        <v>2</v>
      </c>
      <c r="B30" s="183" t="s">
        <v>295</v>
      </c>
      <c r="C30" s="184">
        <v>2.1</v>
      </c>
      <c r="D30" s="184">
        <v>2</v>
      </c>
      <c r="E30" s="185">
        <v>0.13</v>
      </c>
      <c r="F30" s="186">
        <v>1</v>
      </c>
      <c r="G30" s="184">
        <f t="shared" si="1"/>
        <v>0.80600000000000005</v>
      </c>
    </row>
    <row r="31" spans="1:7" x14ac:dyDescent="0.3">
      <c r="A31" s="183">
        <v>2</v>
      </c>
      <c r="B31" s="183" t="s">
        <v>303</v>
      </c>
      <c r="C31" s="184">
        <v>2.8</v>
      </c>
      <c r="D31" s="184">
        <v>1.8</v>
      </c>
      <c r="E31" s="185">
        <v>0.13</v>
      </c>
      <c r="F31" s="186">
        <v>4</v>
      </c>
      <c r="G31" s="184">
        <f t="shared" si="1"/>
        <v>3.8479999999999999</v>
      </c>
    </row>
    <row r="32" spans="1:7" x14ac:dyDescent="0.3">
      <c r="A32" s="183">
        <v>2</v>
      </c>
      <c r="B32" s="183" t="s">
        <v>300</v>
      </c>
      <c r="C32" s="184">
        <v>2.8</v>
      </c>
      <c r="D32" s="184">
        <v>1.6</v>
      </c>
      <c r="E32" s="185">
        <v>0.13</v>
      </c>
      <c r="F32" s="186">
        <v>5</v>
      </c>
      <c r="G32" s="184">
        <f>(D32+C32*2)*E32*F32</f>
        <v>4.68</v>
      </c>
    </row>
    <row r="33" spans="1:7" x14ac:dyDescent="0.3">
      <c r="A33" s="183">
        <v>2</v>
      </c>
      <c r="B33" s="183" t="s">
        <v>301</v>
      </c>
      <c r="C33" s="184">
        <v>2.1</v>
      </c>
      <c r="D33" s="184">
        <v>1.8</v>
      </c>
      <c r="E33" s="185">
        <v>0.26</v>
      </c>
      <c r="F33" s="186">
        <v>3</v>
      </c>
      <c r="G33" s="184">
        <f t="shared" ref="G33:G39" si="2">(D33+C33*2)*E33*F33</f>
        <v>4.68</v>
      </c>
    </row>
    <row r="34" spans="1:7" x14ac:dyDescent="0.3">
      <c r="A34" s="183">
        <v>2</v>
      </c>
      <c r="B34" s="183" t="s">
        <v>289</v>
      </c>
      <c r="C34" s="184">
        <v>2.8</v>
      </c>
      <c r="D34" s="184">
        <v>1.1000000000000001</v>
      </c>
      <c r="E34" s="185">
        <v>0.13500000000000001</v>
      </c>
      <c r="F34" s="186">
        <v>1</v>
      </c>
      <c r="G34" s="184">
        <f t="shared" si="2"/>
        <v>0.90449999999999997</v>
      </c>
    </row>
    <row r="35" spans="1:7" x14ac:dyDescent="0.3">
      <c r="A35" s="183">
        <v>2</v>
      </c>
      <c r="B35" s="183" t="s">
        <v>311</v>
      </c>
      <c r="C35" s="184">
        <v>2.1</v>
      </c>
      <c r="D35" s="184">
        <v>1.4</v>
      </c>
      <c r="E35" s="185">
        <v>0.26</v>
      </c>
      <c r="F35" s="186">
        <v>1</v>
      </c>
      <c r="G35" s="184">
        <f t="shared" ref="G35" si="3">(D35+C35*2)*E35*F35</f>
        <v>1.456</v>
      </c>
    </row>
    <row r="36" spans="1:7" x14ac:dyDescent="0.3">
      <c r="A36" s="183">
        <v>2</v>
      </c>
      <c r="B36" s="183" t="s">
        <v>290</v>
      </c>
      <c r="C36" s="184">
        <v>2.1</v>
      </c>
      <c r="D36" s="184">
        <v>1.5</v>
      </c>
      <c r="E36" s="185">
        <v>0.13</v>
      </c>
      <c r="F36" s="186">
        <v>1</v>
      </c>
      <c r="G36" s="184">
        <f t="shared" si="2"/>
        <v>0.7410000000000001</v>
      </c>
    </row>
    <row r="37" spans="1:7" x14ac:dyDescent="0.3">
      <c r="A37" s="183">
        <v>2</v>
      </c>
      <c r="B37" s="187" t="s">
        <v>305</v>
      </c>
      <c r="C37" s="184">
        <v>2.1</v>
      </c>
      <c r="D37" s="184">
        <v>1.5</v>
      </c>
      <c r="E37" s="185">
        <v>0.13</v>
      </c>
      <c r="F37" s="186">
        <v>4</v>
      </c>
      <c r="G37" s="184">
        <f t="shared" si="2"/>
        <v>2.9640000000000004</v>
      </c>
    </row>
    <row r="38" spans="1:7" x14ac:dyDescent="0.3">
      <c r="A38" s="183">
        <v>2</v>
      </c>
      <c r="B38" s="187" t="s">
        <v>304</v>
      </c>
      <c r="C38" s="184">
        <v>2.2999999999999998</v>
      </c>
      <c r="D38" s="184">
        <v>2.2200000000000002</v>
      </c>
      <c r="E38" s="185">
        <v>0.13</v>
      </c>
      <c r="F38" s="186">
        <v>5</v>
      </c>
      <c r="G38" s="184">
        <f t="shared" si="2"/>
        <v>4.4329999999999998</v>
      </c>
    </row>
    <row r="39" spans="1:7" x14ac:dyDescent="0.3">
      <c r="A39" s="183">
        <v>2</v>
      </c>
      <c r="B39" s="187" t="s">
        <v>302</v>
      </c>
      <c r="C39" s="184">
        <v>2.1</v>
      </c>
      <c r="D39" s="184">
        <v>0.95</v>
      </c>
      <c r="E39" s="185">
        <v>0.13</v>
      </c>
      <c r="F39" s="186">
        <v>1</v>
      </c>
      <c r="G39" s="184">
        <f t="shared" si="2"/>
        <v>0.6695000000000001</v>
      </c>
    </row>
    <row r="40" spans="1:7" x14ac:dyDescent="0.3">
      <c r="A40" s="183">
        <v>2</v>
      </c>
      <c r="B40" s="187" t="s">
        <v>291</v>
      </c>
      <c r="C40" s="184">
        <v>2.1</v>
      </c>
      <c r="D40" s="184">
        <v>1.8</v>
      </c>
      <c r="E40" s="185">
        <v>0.13</v>
      </c>
      <c r="F40" s="186">
        <v>3</v>
      </c>
      <c r="G40" s="184">
        <f t="shared" si="1"/>
        <v>2.34</v>
      </c>
    </row>
    <row r="41" spans="1:7" x14ac:dyDescent="0.3">
      <c r="A41" s="287"/>
      <c r="B41" s="287"/>
      <c r="C41" s="287"/>
      <c r="D41" s="287"/>
      <c r="E41" s="287"/>
      <c r="F41" s="314"/>
      <c r="G41" s="182">
        <f>SUM(G27:G40)</f>
        <v>41.591499999999996</v>
      </c>
    </row>
    <row r="42" spans="1:7" ht="15.6" x14ac:dyDescent="0.3">
      <c r="A42" s="259"/>
      <c r="B42" s="259"/>
      <c r="C42" s="259"/>
      <c r="D42" s="259"/>
      <c r="E42" s="259"/>
      <c r="F42" s="259"/>
      <c r="G42" s="259"/>
    </row>
    <row r="43" spans="1:7" ht="15.6" x14ac:dyDescent="0.3">
      <c r="A43" s="312" t="s">
        <v>288</v>
      </c>
      <c r="B43" s="313"/>
      <c r="C43" s="313"/>
      <c r="D43" s="313"/>
      <c r="E43" s="313"/>
      <c r="F43" s="313"/>
      <c r="G43" s="313"/>
    </row>
    <row r="44" spans="1:7" ht="31.2" x14ac:dyDescent="0.3">
      <c r="A44" s="169" t="s">
        <v>244</v>
      </c>
      <c r="B44" s="169" t="s">
        <v>180</v>
      </c>
      <c r="C44" s="169" t="s">
        <v>283</v>
      </c>
      <c r="D44" s="169" t="s">
        <v>282</v>
      </c>
      <c r="E44" s="169" t="s">
        <v>284</v>
      </c>
      <c r="F44" s="169" t="s">
        <v>285</v>
      </c>
      <c r="G44" s="169" t="s">
        <v>177</v>
      </c>
    </row>
    <row r="45" spans="1:7" x14ac:dyDescent="0.3">
      <c r="A45" s="183">
        <v>3</v>
      </c>
      <c r="B45" s="183" t="s">
        <v>298</v>
      </c>
      <c r="C45" s="184">
        <v>2.9</v>
      </c>
      <c r="D45" s="184">
        <v>2.9</v>
      </c>
      <c r="E45" s="185">
        <v>0.13500000000000001</v>
      </c>
      <c r="F45" s="186">
        <v>9</v>
      </c>
      <c r="G45" s="184">
        <f>(D45+C45*2)*E45*F45</f>
        <v>10.570499999999999</v>
      </c>
    </row>
    <row r="46" spans="1:7" x14ac:dyDescent="0.3">
      <c r="A46" s="183">
        <v>3</v>
      </c>
      <c r="B46" s="183">
        <v>2</v>
      </c>
      <c r="C46" s="184">
        <v>2.8</v>
      </c>
      <c r="D46" s="184">
        <v>1.1000000000000001</v>
      </c>
      <c r="E46" s="185">
        <v>0.13500000000000001</v>
      </c>
      <c r="F46" s="186">
        <v>2</v>
      </c>
      <c r="G46" s="184">
        <f t="shared" ref="G46:G57" si="4">(D46+C46*2)*E46*F46</f>
        <v>1.8089999999999999</v>
      </c>
    </row>
    <row r="47" spans="1:7" ht="15.6" customHeight="1" x14ac:dyDescent="0.3">
      <c r="A47" s="183">
        <v>3</v>
      </c>
      <c r="B47" s="183" t="s">
        <v>309</v>
      </c>
      <c r="C47" s="184">
        <v>2.8</v>
      </c>
      <c r="D47" s="184">
        <v>2</v>
      </c>
      <c r="E47" s="185">
        <v>0.13</v>
      </c>
      <c r="F47" s="186">
        <v>1</v>
      </c>
      <c r="G47" s="184">
        <f t="shared" si="4"/>
        <v>0.98799999999999999</v>
      </c>
    </row>
    <row r="48" spans="1:7" x14ac:dyDescent="0.3">
      <c r="A48" s="183">
        <v>3</v>
      </c>
      <c r="B48" s="183" t="s">
        <v>296</v>
      </c>
      <c r="C48" s="184">
        <v>2.1</v>
      </c>
      <c r="D48" s="184">
        <v>1.53</v>
      </c>
      <c r="E48" s="185">
        <v>0.13</v>
      </c>
      <c r="F48" s="186">
        <v>1</v>
      </c>
      <c r="G48" s="184">
        <f t="shared" si="4"/>
        <v>0.74490000000000012</v>
      </c>
    </row>
    <row r="49" spans="1:7" x14ac:dyDescent="0.3">
      <c r="A49" s="183">
        <v>3</v>
      </c>
      <c r="B49" s="183" t="s">
        <v>295</v>
      </c>
      <c r="C49" s="184">
        <v>2.1</v>
      </c>
      <c r="D49" s="184">
        <v>2</v>
      </c>
      <c r="E49" s="185">
        <v>0.13</v>
      </c>
      <c r="F49" s="186">
        <v>1</v>
      </c>
      <c r="G49" s="184">
        <f t="shared" si="4"/>
        <v>0.80600000000000005</v>
      </c>
    </row>
    <row r="50" spans="1:7" x14ac:dyDescent="0.3">
      <c r="A50" s="183">
        <v>3</v>
      </c>
      <c r="B50" s="183" t="s">
        <v>300</v>
      </c>
      <c r="C50" s="184">
        <v>2.8</v>
      </c>
      <c r="D50" s="184">
        <v>1.6</v>
      </c>
      <c r="E50" s="185">
        <v>0.13</v>
      </c>
      <c r="F50" s="186">
        <v>1</v>
      </c>
      <c r="G50" s="184">
        <f t="shared" si="4"/>
        <v>0.93599999999999994</v>
      </c>
    </row>
    <row r="51" spans="1:7" x14ac:dyDescent="0.3">
      <c r="A51" s="183">
        <v>3</v>
      </c>
      <c r="B51" s="183" t="s">
        <v>308</v>
      </c>
      <c r="C51" s="184">
        <v>2.1</v>
      </c>
      <c r="D51" s="184">
        <v>1.6</v>
      </c>
      <c r="E51" s="185">
        <v>0.13</v>
      </c>
      <c r="F51" s="186">
        <v>1</v>
      </c>
      <c r="G51" s="184">
        <f t="shared" si="4"/>
        <v>0.75400000000000011</v>
      </c>
    </row>
    <row r="52" spans="1:7" x14ac:dyDescent="0.3">
      <c r="A52" s="183">
        <v>3</v>
      </c>
      <c r="B52" s="183" t="s">
        <v>311</v>
      </c>
      <c r="C52" s="184">
        <v>2.1</v>
      </c>
      <c r="D52" s="184">
        <v>1.4</v>
      </c>
      <c r="E52" s="185">
        <v>0.13</v>
      </c>
      <c r="F52" s="186">
        <v>4</v>
      </c>
      <c r="G52" s="184">
        <f t="shared" si="4"/>
        <v>2.9119999999999999</v>
      </c>
    </row>
    <row r="53" spans="1:7" x14ac:dyDescent="0.3">
      <c r="A53" s="183">
        <v>3</v>
      </c>
      <c r="B53" s="183" t="s">
        <v>310</v>
      </c>
      <c r="C53" s="184">
        <v>2.8</v>
      </c>
      <c r="D53" s="184">
        <v>2.2999999999999998</v>
      </c>
      <c r="E53" s="185">
        <v>0.13</v>
      </c>
      <c r="F53" s="186">
        <v>1</v>
      </c>
      <c r="G53" s="184">
        <f t="shared" ref="G53" si="5">(D53+C53*2)*E53*F53</f>
        <v>1.0269999999999999</v>
      </c>
    </row>
    <row r="54" spans="1:7" x14ac:dyDescent="0.3">
      <c r="A54" s="183">
        <v>3</v>
      </c>
      <c r="B54" s="183" t="s">
        <v>307</v>
      </c>
      <c r="C54" s="184">
        <v>2.1</v>
      </c>
      <c r="D54" s="184">
        <v>1.1000000000000001</v>
      </c>
      <c r="E54" s="185">
        <v>0.13</v>
      </c>
      <c r="F54" s="186">
        <v>1</v>
      </c>
      <c r="G54" s="184">
        <f t="shared" si="4"/>
        <v>0.68900000000000017</v>
      </c>
    </row>
    <row r="55" spans="1:7" x14ac:dyDescent="0.3">
      <c r="A55" s="183">
        <v>3</v>
      </c>
      <c r="B55" s="187" t="s">
        <v>306</v>
      </c>
      <c r="C55" s="184">
        <v>2.1</v>
      </c>
      <c r="D55" s="184">
        <v>1.8</v>
      </c>
      <c r="E55" s="185">
        <v>0.13</v>
      </c>
      <c r="F55" s="186">
        <v>4</v>
      </c>
      <c r="G55" s="184">
        <f t="shared" si="4"/>
        <v>3.12</v>
      </c>
    </row>
    <row r="56" spans="1:7" x14ac:dyDescent="0.3">
      <c r="A56" s="183">
        <v>3</v>
      </c>
      <c r="B56" s="183" t="s">
        <v>290</v>
      </c>
      <c r="C56" s="184">
        <v>2.1</v>
      </c>
      <c r="D56" s="184">
        <v>1.5</v>
      </c>
      <c r="E56" s="185">
        <v>0.13</v>
      </c>
      <c r="F56" s="186">
        <v>2</v>
      </c>
      <c r="G56" s="184">
        <f t="shared" si="4"/>
        <v>1.4820000000000002</v>
      </c>
    </row>
    <row r="57" spans="1:7" x14ac:dyDescent="0.3">
      <c r="A57" s="183">
        <v>3</v>
      </c>
      <c r="B57" s="183">
        <v>3</v>
      </c>
      <c r="C57" s="184">
        <v>1.9</v>
      </c>
      <c r="D57" s="184">
        <v>0.7</v>
      </c>
      <c r="E57" s="185">
        <v>0.12</v>
      </c>
      <c r="F57" s="186">
        <v>9</v>
      </c>
      <c r="G57" s="184">
        <f t="shared" si="4"/>
        <v>4.8600000000000003</v>
      </c>
    </row>
    <row r="58" spans="1:7" x14ac:dyDescent="0.3">
      <c r="A58" s="287"/>
      <c r="B58" s="287"/>
      <c r="C58" s="287"/>
      <c r="D58" s="287"/>
      <c r="E58" s="287"/>
      <c r="F58" s="314"/>
      <c r="G58" s="182">
        <f>SUM(G45:G57)</f>
        <v>30.698399999999999</v>
      </c>
    </row>
  </sheetData>
  <mergeCells count="15">
    <mergeCell ref="A8:G8"/>
    <mergeCell ref="A1:G1"/>
    <mergeCell ref="A7:G7"/>
    <mergeCell ref="B2:E2"/>
    <mergeCell ref="B3:E3"/>
    <mergeCell ref="B4:E4"/>
    <mergeCell ref="B5:E5"/>
    <mergeCell ref="B6:E6"/>
    <mergeCell ref="A43:G43"/>
    <mergeCell ref="A58:F58"/>
    <mergeCell ref="A23:F23"/>
    <mergeCell ref="A24:G24"/>
    <mergeCell ref="A25:G25"/>
    <mergeCell ref="A41:F41"/>
    <mergeCell ref="A42:G42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I4" sqref="I4"/>
    </sheetView>
  </sheetViews>
  <sheetFormatPr defaultRowHeight="14.4" x14ac:dyDescent="0.3"/>
  <cols>
    <col min="1" max="1" width="6.33203125" style="140" customWidth="1"/>
    <col min="2" max="2" width="12.5546875" style="140" customWidth="1"/>
    <col min="3" max="4" width="13.77734375" style="140" customWidth="1"/>
    <col min="5" max="5" width="10.33203125" style="140" customWidth="1"/>
    <col min="6" max="6" width="8.21875" style="140" customWidth="1"/>
    <col min="7" max="16384" width="8.88671875" style="140"/>
  </cols>
  <sheetData>
    <row r="1" spans="1:6" ht="15.6" x14ac:dyDescent="0.3">
      <c r="A1" s="277" t="s">
        <v>316</v>
      </c>
      <c r="B1" s="278"/>
      <c r="C1" s="278"/>
      <c r="D1" s="278"/>
      <c r="E1" s="278"/>
      <c r="F1" s="278"/>
    </row>
    <row r="2" spans="1:6" s="153" customFormat="1" ht="15.6" x14ac:dyDescent="0.3">
      <c r="A2" s="141" t="s">
        <v>0</v>
      </c>
      <c r="B2" s="290" t="s">
        <v>174</v>
      </c>
      <c r="C2" s="279"/>
      <c r="D2" s="280"/>
      <c r="E2" s="142" t="s">
        <v>15</v>
      </c>
      <c r="F2" s="152" t="s">
        <v>8</v>
      </c>
    </row>
    <row r="3" spans="1:6" ht="49.2" customHeight="1" x14ac:dyDescent="0.3">
      <c r="A3" s="143">
        <v>1</v>
      </c>
      <c r="B3" s="291" t="s">
        <v>273</v>
      </c>
      <c r="C3" s="258"/>
      <c r="D3" s="281"/>
      <c r="E3" s="143" t="s">
        <v>270</v>
      </c>
      <c r="F3" s="144">
        <f>B14</f>
        <v>1196.0899999999999</v>
      </c>
    </row>
    <row r="4" spans="1:6" ht="32.4" customHeight="1" x14ac:dyDescent="0.3">
      <c r="A4" s="143">
        <v>2</v>
      </c>
      <c r="B4" s="291" t="s">
        <v>274</v>
      </c>
      <c r="C4" s="258"/>
      <c r="D4" s="281"/>
      <c r="E4" s="143" t="s">
        <v>271</v>
      </c>
      <c r="F4" s="144">
        <f>C23</f>
        <v>13.4724</v>
      </c>
    </row>
    <row r="5" spans="1:6" ht="15.6" x14ac:dyDescent="0.3">
      <c r="A5" s="143">
        <v>3</v>
      </c>
      <c r="B5" s="291" t="s">
        <v>277</v>
      </c>
      <c r="C5" s="258"/>
      <c r="D5" s="281"/>
      <c r="E5" s="143" t="s">
        <v>82</v>
      </c>
      <c r="F5" s="144">
        <f>B32</f>
        <v>449.08000000000004</v>
      </c>
    </row>
    <row r="6" spans="1:6" ht="15.6" x14ac:dyDescent="0.3">
      <c r="A6" s="259"/>
      <c r="B6" s="259"/>
      <c r="C6" s="259"/>
      <c r="D6" s="259"/>
      <c r="E6" s="259"/>
      <c r="F6" s="259"/>
    </row>
    <row r="7" spans="1:6" ht="15.6" x14ac:dyDescent="0.3">
      <c r="A7" s="317" t="s">
        <v>275</v>
      </c>
      <c r="B7" s="317"/>
      <c r="C7" s="276"/>
      <c r="D7" s="261"/>
      <c r="E7" s="261"/>
      <c r="F7" s="261"/>
    </row>
    <row r="8" spans="1:6" ht="30.6" customHeight="1" x14ac:dyDescent="0.3">
      <c r="A8" s="169" t="s">
        <v>176</v>
      </c>
      <c r="B8" s="169" t="s">
        <v>269</v>
      </c>
      <c r="C8" s="276"/>
      <c r="D8" s="261"/>
      <c r="E8" s="261"/>
      <c r="F8" s="261"/>
    </row>
    <row r="9" spans="1:6" ht="15.6" customHeight="1" x14ac:dyDescent="0.3">
      <c r="A9" s="146" t="s">
        <v>189</v>
      </c>
      <c r="B9" s="149">
        <v>215.94</v>
      </c>
      <c r="C9" s="276"/>
      <c r="D9" s="261"/>
      <c r="E9" s="261"/>
      <c r="F9" s="261"/>
    </row>
    <row r="10" spans="1:6" ht="15.6" customHeight="1" x14ac:dyDescent="0.3">
      <c r="A10" s="147" t="s">
        <v>191</v>
      </c>
      <c r="B10" s="149">
        <v>213.56</v>
      </c>
      <c r="C10" s="276"/>
      <c r="D10" s="261"/>
      <c r="E10" s="261"/>
      <c r="F10" s="261"/>
    </row>
    <row r="11" spans="1:6" ht="15.6" customHeight="1" x14ac:dyDescent="0.3">
      <c r="A11" s="147" t="s">
        <v>192</v>
      </c>
      <c r="B11" s="149">
        <f>267.39</f>
        <v>267.39</v>
      </c>
      <c r="C11" s="276"/>
      <c r="D11" s="261"/>
      <c r="E11" s="261"/>
      <c r="F11" s="261"/>
    </row>
    <row r="12" spans="1:6" ht="15.6" customHeight="1" x14ac:dyDescent="0.3">
      <c r="A12" s="147" t="s">
        <v>194</v>
      </c>
      <c r="B12" s="149">
        <v>425.92</v>
      </c>
      <c r="C12" s="276"/>
      <c r="D12" s="261"/>
      <c r="E12" s="261"/>
      <c r="F12" s="261"/>
    </row>
    <row r="13" spans="1:6" ht="15.6" customHeight="1" x14ac:dyDescent="0.3">
      <c r="A13" s="147" t="s">
        <v>195</v>
      </c>
      <c r="B13" s="149">
        <f>4*11+6*4.88</f>
        <v>73.28</v>
      </c>
      <c r="C13" s="276"/>
      <c r="D13" s="261"/>
      <c r="E13" s="261"/>
      <c r="F13" s="261"/>
    </row>
    <row r="14" spans="1:6" ht="15.6" customHeight="1" x14ac:dyDescent="0.3">
      <c r="A14" s="167" t="s">
        <v>164</v>
      </c>
      <c r="B14" s="168">
        <f>SUM(B9:B13)</f>
        <v>1196.0899999999999</v>
      </c>
      <c r="C14" s="276"/>
      <c r="D14" s="261"/>
      <c r="E14" s="261"/>
      <c r="F14" s="261"/>
    </row>
    <row r="15" spans="1:6" x14ac:dyDescent="0.3">
      <c r="A15" s="261"/>
      <c r="B15" s="261"/>
      <c r="C15" s="261"/>
      <c r="D15" s="261"/>
      <c r="E15" s="261"/>
      <c r="F15" s="261"/>
    </row>
    <row r="16" spans="1:6" ht="15.6" x14ac:dyDescent="0.3">
      <c r="A16" s="317" t="s">
        <v>276</v>
      </c>
      <c r="B16" s="317"/>
      <c r="C16" s="317"/>
      <c r="D16" s="276"/>
      <c r="E16" s="261"/>
      <c r="F16" s="261"/>
    </row>
    <row r="17" spans="1:6" ht="31.2" x14ac:dyDescent="0.3">
      <c r="A17" s="169" t="s">
        <v>176</v>
      </c>
      <c r="B17" s="169" t="s">
        <v>177</v>
      </c>
      <c r="C17" s="169" t="s">
        <v>272</v>
      </c>
      <c r="D17" s="276"/>
      <c r="E17" s="261"/>
      <c r="F17" s="261"/>
    </row>
    <row r="18" spans="1:6" ht="14.4" customHeight="1" x14ac:dyDescent="0.3">
      <c r="A18" s="146" t="s">
        <v>189</v>
      </c>
      <c r="B18" s="149">
        <v>88.86</v>
      </c>
      <c r="C18" s="149">
        <f>B18*0.03</f>
        <v>2.6657999999999999</v>
      </c>
      <c r="D18" s="276"/>
      <c r="E18" s="261"/>
      <c r="F18" s="261"/>
    </row>
    <row r="19" spans="1:6" ht="14.4" customHeight="1" x14ac:dyDescent="0.3">
      <c r="A19" s="147" t="s">
        <v>191</v>
      </c>
      <c r="B19" s="149">
        <v>87.32</v>
      </c>
      <c r="C19" s="149">
        <f t="shared" ref="C19:C22" si="0">B19*0.03</f>
        <v>2.6195999999999997</v>
      </c>
      <c r="D19" s="276"/>
      <c r="E19" s="261"/>
      <c r="F19" s="261"/>
    </row>
    <row r="20" spans="1:6" ht="14.4" customHeight="1" x14ac:dyDescent="0.3">
      <c r="A20" s="147" t="s">
        <v>192</v>
      </c>
      <c r="B20" s="149">
        <v>108.73</v>
      </c>
      <c r="C20" s="149">
        <f t="shared" si="0"/>
        <v>3.2618999999999998</v>
      </c>
      <c r="D20" s="276"/>
      <c r="E20" s="261"/>
      <c r="F20" s="261"/>
    </row>
    <row r="21" spans="1:6" ht="14.4" customHeight="1" x14ac:dyDescent="0.3">
      <c r="A21" s="147" t="s">
        <v>194</v>
      </c>
      <c r="B21" s="149">
        <v>144.65</v>
      </c>
      <c r="C21" s="149">
        <f t="shared" si="0"/>
        <v>4.3395000000000001</v>
      </c>
      <c r="D21" s="276"/>
      <c r="E21" s="261"/>
      <c r="F21" s="261"/>
    </row>
    <row r="22" spans="1:6" ht="14.4" customHeight="1" x14ac:dyDescent="0.3">
      <c r="A22" s="147" t="s">
        <v>195</v>
      </c>
      <c r="B22" s="149">
        <v>19.52</v>
      </c>
      <c r="C22" s="149">
        <f t="shared" si="0"/>
        <v>0.58560000000000001</v>
      </c>
      <c r="D22" s="276"/>
      <c r="E22" s="261"/>
      <c r="F22" s="261"/>
    </row>
    <row r="23" spans="1:6" ht="14.4" customHeight="1" x14ac:dyDescent="0.3">
      <c r="A23" s="167" t="s">
        <v>164</v>
      </c>
      <c r="B23" s="168">
        <f>SUM(B18:B22)</f>
        <v>449.08000000000004</v>
      </c>
      <c r="C23" s="168">
        <f>SUM(C18:C22)</f>
        <v>13.4724</v>
      </c>
      <c r="D23" s="276"/>
      <c r="E23" s="261"/>
      <c r="F23" s="261"/>
    </row>
    <row r="24" spans="1:6" x14ac:dyDescent="0.3">
      <c r="A24" s="261"/>
      <c r="B24" s="261"/>
      <c r="C24" s="261"/>
      <c r="D24" s="261"/>
      <c r="E24" s="261"/>
      <c r="F24" s="261"/>
    </row>
    <row r="25" spans="1:6" ht="15.6" customHeight="1" x14ac:dyDescent="0.3">
      <c r="A25" s="315" t="s">
        <v>277</v>
      </c>
      <c r="B25" s="316"/>
      <c r="C25" s="276"/>
      <c r="D25" s="288"/>
      <c r="E25" s="288"/>
      <c r="F25" s="288"/>
    </row>
    <row r="26" spans="1:6" ht="31.2" x14ac:dyDescent="0.3">
      <c r="A26" s="169" t="s">
        <v>176</v>
      </c>
      <c r="B26" s="169" t="s">
        <v>177</v>
      </c>
      <c r="C26" s="276"/>
      <c r="D26" s="288"/>
      <c r="E26" s="288"/>
      <c r="F26" s="288"/>
    </row>
    <row r="27" spans="1:6" x14ac:dyDescent="0.3">
      <c r="A27" s="146" t="s">
        <v>189</v>
      </c>
      <c r="B27" s="149">
        <v>88.86</v>
      </c>
      <c r="C27" s="276"/>
      <c r="D27" s="288"/>
      <c r="E27" s="288"/>
      <c r="F27" s="288"/>
    </row>
    <row r="28" spans="1:6" x14ac:dyDescent="0.3">
      <c r="A28" s="147" t="s">
        <v>191</v>
      </c>
      <c r="B28" s="149">
        <v>87.32</v>
      </c>
      <c r="C28" s="276"/>
      <c r="D28" s="288"/>
      <c r="E28" s="288"/>
      <c r="F28" s="288"/>
    </row>
    <row r="29" spans="1:6" x14ac:dyDescent="0.3">
      <c r="A29" s="147" t="s">
        <v>192</v>
      </c>
      <c r="B29" s="149">
        <v>108.73</v>
      </c>
      <c r="C29" s="276"/>
      <c r="D29" s="288"/>
      <c r="E29" s="288"/>
      <c r="F29" s="288"/>
    </row>
    <row r="30" spans="1:6" x14ac:dyDescent="0.3">
      <c r="A30" s="147" t="s">
        <v>194</v>
      </c>
      <c r="B30" s="149">
        <v>144.65</v>
      </c>
      <c r="C30" s="276"/>
      <c r="D30" s="288"/>
      <c r="E30" s="288"/>
      <c r="F30" s="288"/>
    </row>
    <row r="31" spans="1:6" x14ac:dyDescent="0.3">
      <c r="A31" s="147" t="s">
        <v>195</v>
      </c>
      <c r="B31" s="149">
        <v>19.52</v>
      </c>
      <c r="C31" s="276"/>
      <c r="D31" s="288"/>
      <c r="E31" s="288"/>
      <c r="F31" s="288"/>
    </row>
    <row r="32" spans="1:6" x14ac:dyDescent="0.3">
      <c r="A32" s="167" t="s">
        <v>164</v>
      </c>
      <c r="B32" s="168">
        <f>SUM(B27:B31)</f>
        <v>449.08000000000004</v>
      </c>
      <c r="C32" s="276"/>
      <c r="D32" s="288"/>
      <c r="E32" s="288"/>
      <c r="F32" s="288"/>
    </row>
  </sheetData>
  <mergeCells count="14">
    <mergeCell ref="C25:F32"/>
    <mergeCell ref="A25:B25"/>
    <mergeCell ref="B5:D5"/>
    <mergeCell ref="A1:F1"/>
    <mergeCell ref="B2:D2"/>
    <mergeCell ref="B3:D3"/>
    <mergeCell ref="B4:D4"/>
    <mergeCell ref="A24:F24"/>
    <mergeCell ref="A16:C16"/>
    <mergeCell ref="C7:F14"/>
    <mergeCell ref="A15:F15"/>
    <mergeCell ref="D16:F23"/>
    <mergeCell ref="A6:F6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30" zoomScaleNormal="130" workbookViewId="0">
      <selection activeCell="A8" sqref="A8"/>
    </sheetView>
  </sheetViews>
  <sheetFormatPr defaultRowHeight="14.4" x14ac:dyDescent="0.3"/>
  <cols>
    <col min="1" max="1" width="6.33203125" style="140" customWidth="1"/>
    <col min="2" max="2" width="11.109375" style="140" customWidth="1"/>
    <col min="3" max="3" width="3.88671875" style="140" customWidth="1"/>
    <col min="4" max="4" width="10.33203125" style="140" customWidth="1"/>
    <col min="5" max="5" width="8.21875" style="140" customWidth="1"/>
    <col min="6" max="16384" width="8.88671875" style="140"/>
  </cols>
  <sheetData>
    <row r="1" spans="1:5" ht="27.6" customHeight="1" x14ac:dyDescent="0.3">
      <c r="A1" s="318" t="s">
        <v>316</v>
      </c>
      <c r="B1" s="319"/>
      <c r="C1" s="319"/>
      <c r="D1" s="319"/>
      <c r="E1" s="319"/>
    </row>
    <row r="2" spans="1:5" s="153" customFormat="1" ht="31.8" customHeight="1" x14ac:dyDescent="0.3">
      <c r="A2" s="141" t="s">
        <v>0</v>
      </c>
      <c r="B2" s="320" t="s">
        <v>174</v>
      </c>
      <c r="C2" s="321"/>
      <c r="D2" s="142" t="s">
        <v>15</v>
      </c>
      <c r="E2" s="152" t="s">
        <v>8</v>
      </c>
    </row>
    <row r="3" spans="1:5" ht="30" customHeight="1" x14ac:dyDescent="0.3">
      <c r="A3" s="143">
        <v>1</v>
      </c>
      <c r="B3" s="291" t="s">
        <v>312</v>
      </c>
      <c r="C3" s="258"/>
      <c r="D3" s="143" t="s">
        <v>82</v>
      </c>
      <c r="E3" s="144">
        <f>B13</f>
        <v>105.72</v>
      </c>
    </row>
    <row r="4" spans="1:5" ht="15.6" x14ac:dyDescent="0.3">
      <c r="A4" s="259"/>
      <c r="B4" s="259"/>
      <c r="C4" s="259"/>
      <c r="D4" s="259"/>
      <c r="E4" s="259"/>
    </row>
    <row r="5" spans="1:5" ht="27.6" customHeight="1" x14ac:dyDescent="0.3">
      <c r="A5" s="317" t="s">
        <v>64</v>
      </c>
      <c r="B5" s="317"/>
      <c r="C5" s="312"/>
      <c r="D5" s="313"/>
      <c r="E5" s="313"/>
    </row>
    <row r="6" spans="1:5" ht="31.2" x14ac:dyDescent="0.3">
      <c r="A6" s="169" t="s">
        <v>176</v>
      </c>
      <c r="B6" s="169" t="s">
        <v>177</v>
      </c>
      <c r="C6" s="312"/>
      <c r="D6" s="313"/>
      <c r="E6" s="313"/>
    </row>
    <row r="7" spans="1:5" ht="14.4" customHeight="1" x14ac:dyDescent="0.3">
      <c r="A7" s="146" t="s">
        <v>126</v>
      </c>
      <c r="B7" s="149">
        <f>(2.47+4.97)*4</f>
        <v>29.759999999999998</v>
      </c>
      <c r="C7" s="312"/>
      <c r="D7" s="313"/>
      <c r="E7" s="313"/>
    </row>
    <row r="8" spans="1:5" ht="14.4" customHeight="1" x14ac:dyDescent="0.3">
      <c r="A8" s="188" t="s">
        <v>128</v>
      </c>
      <c r="B8" s="184">
        <f>1.42*4</f>
        <v>5.68</v>
      </c>
      <c r="C8" s="312"/>
      <c r="D8" s="313"/>
      <c r="E8" s="313"/>
    </row>
    <row r="9" spans="1:5" ht="14.4" customHeight="1" x14ac:dyDescent="0.3">
      <c r="A9" s="146" t="s">
        <v>34</v>
      </c>
      <c r="B9" s="149">
        <f>(2.44+4.99)*4</f>
        <v>29.72</v>
      </c>
      <c r="C9" s="312"/>
      <c r="D9" s="313"/>
      <c r="E9" s="313"/>
    </row>
    <row r="10" spans="1:5" ht="14.4" customHeight="1" x14ac:dyDescent="0.3">
      <c r="A10" s="188" t="s">
        <v>40</v>
      </c>
      <c r="B10" s="184">
        <f>1.42*4</f>
        <v>5.68</v>
      </c>
      <c r="C10" s="312"/>
      <c r="D10" s="313"/>
      <c r="E10" s="313"/>
    </row>
    <row r="11" spans="1:5" x14ac:dyDescent="0.3">
      <c r="A11" s="146" t="s">
        <v>104</v>
      </c>
      <c r="B11" s="149">
        <f>(2.4+4.9)*4</f>
        <v>29.200000000000003</v>
      </c>
      <c r="C11" s="312"/>
      <c r="D11" s="313"/>
      <c r="E11" s="313"/>
    </row>
    <row r="12" spans="1:5" x14ac:dyDescent="0.3">
      <c r="A12" s="188" t="s">
        <v>122</v>
      </c>
      <c r="B12" s="184">
        <f>1.42*4</f>
        <v>5.68</v>
      </c>
      <c r="C12" s="312"/>
      <c r="D12" s="313"/>
      <c r="E12" s="313"/>
    </row>
    <row r="13" spans="1:5" x14ac:dyDescent="0.3">
      <c r="A13" s="167" t="s">
        <v>164</v>
      </c>
      <c r="B13" s="168">
        <f>SUM(B7:B12)</f>
        <v>105.72</v>
      </c>
      <c r="C13" s="312"/>
      <c r="D13" s="313"/>
      <c r="E13" s="313"/>
    </row>
  </sheetData>
  <mergeCells count="6">
    <mergeCell ref="A5:B5"/>
    <mergeCell ref="C5:E13"/>
    <mergeCell ref="A4:E4"/>
    <mergeCell ref="A1:E1"/>
    <mergeCell ref="B2:C2"/>
    <mergeCell ref="B3:C3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8" sqref="A8:I13"/>
    </sheetView>
  </sheetViews>
  <sheetFormatPr defaultRowHeight="14.4" x14ac:dyDescent="0.3"/>
  <cols>
    <col min="1" max="1" width="6.33203125" style="140" customWidth="1"/>
    <col min="2" max="2" width="11.109375" style="140" customWidth="1"/>
    <col min="3" max="3" width="3.88671875" style="140" customWidth="1"/>
    <col min="4" max="4" width="8" style="140" customWidth="1"/>
    <col min="5" max="5" width="10.88671875" style="140" customWidth="1"/>
    <col min="6" max="6" width="2.33203125" style="140" customWidth="1"/>
    <col min="7" max="7" width="2.6640625" style="140" customWidth="1"/>
    <col min="8" max="8" width="10.33203125" style="140" customWidth="1"/>
    <col min="9" max="9" width="8.21875" style="140" customWidth="1"/>
    <col min="10" max="16384" width="8.88671875" style="140"/>
  </cols>
  <sheetData>
    <row r="1" spans="1:9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</row>
    <row r="2" spans="1:9" s="153" customFormat="1" ht="15.6" x14ac:dyDescent="0.3">
      <c r="A2" s="141" t="s">
        <v>0</v>
      </c>
      <c r="B2" s="290" t="s">
        <v>174</v>
      </c>
      <c r="C2" s="279"/>
      <c r="D2" s="279"/>
      <c r="E2" s="279"/>
      <c r="F2" s="279"/>
      <c r="G2" s="280"/>
      <c r="H2" s="142" t="s">
        <v>15</v>
      </c>
      <c r="I2" s="152" t="s">
        <v>8</v>
      </c>
    </row>
    <row r="3" spans="1:9" ht="19.8" customHeight="1" x14ac:dyDescent="0.3">
      <c r="A3" s="143">
        <v>1</v>
      </c>
      <c r="B3" s="291" t="s">
        <v>246</v>
      </c>
      <c r="C3" s="258"/>
      <c r="D3" s="258"/>
      <c r="E3" s="258"/>
      <c r="F3" s="258"/>
      <c r="G3" s="281"/>
      <c r="H3" s="143" t="s">
        <v>82</v>
      </c>
      <c r="I3" s="144">
        <f>B13</f>
        <v>117.63999999999999</v>
      </c>
    </row>
    <row r="4" spans="1:9" ht="32.4" customHeight="1" x14ac:dyDescent="0.3">
      <c r="A4" s="143">
        <v>2</v>
      </c>
      <c r="B4" s="291" t="s">
        <v>248</v>
      </c>
      <c r="C4" s="258"/>
      <c r="D4" s="258"/>
      <c r="E4" s="258"/>
      <c r="F4" s="258"/>
      <c r="G4" s="281"/>
      <c r="H4" s="143" t="s">
        <v>82</v>
      </c>
      <c r="I4" s="144">
        <f>I3</f>
        <v>117.63999999999999</v>
      </c>
    </row>
    <row r="5" spans="1:9" ht="32.4" customHeight="1" x14ac:dyDescent="0.3">
      <c r="A5" s="143">
        <v>3</v>
      </c>
      <c r="B5" s="291" t="s">
        <v>247</v>
      </c>
      <c r="C5" s="258"/>
      <c r="D5" s="258"/>
      <c r="E5" s="258"/>
      <c r="F5" s="258"/>
      <c r="G5" s="281"/>
      <c r="H5" s="143" t="s">
        <v>82</v>
      </c>
      <c r="I5" s="144">
        <f>I3</f>
        <v>117.63999999999999</v>
      </c>
    </row>
    <row r="6" spans="1:9" ht="35.4" customHeight="1" x14ac:dyDescent="0.3">
      <c r="A6" s="143">
        <v>4</v>
      </c>
      <c r="B6" s="291" t="s">
        <v>249</v>
      </c>
      <c r="C6" s="258"/>
      <c r="D6" s="258"/>
      <c r="E6" s="258"/>
      <c r="F6" s="258"/>
      <c r="G6" s="281"/>
      <c r="H6" s="143" t="s">
        <v>82</v>
      </c>
      <c r="I6" s="144">
        <f>I3</f>
        <v>117.63999999999999</v>
      </c>
    </row>
    <row r="7" spans="1:9" ht="15.6" x14ac:dyDescent="0.3">
      <c r="A7" s="259"/>
      <c r="B7" s="259"/>
      <c r="C7" s="259"/>
      <c r="D7" s="259"/>
      <c r="E7" s="259"/>
      <c r="F7" s="259"/>
      <c r="G7" s="259"/>
      <c r="H7" s="259"/>
      <c r="I7" s="259"/>
    </row>
    <row r="8" spans="1:9" ht="15.6" x14ac:dyDescent="0.3">
      <c r="A8" s="317" t="s">
        <v>313</v>
      </c>
      <c r="B8" s="317"/>
      <c r="C8" s="276"/>
      <c r="D8" s="261"/>
      <c r="E8" s="261"/>
      <c r="F8" s="261"/>
      <c r="G8" s="261"/>
      <c r="H8" s="261"/>
      <c r="I8" s="261"/>
    </row>
    <row r="9" spans="1:9" ht="30.6" customHeight="1" x14ac:dyDescent="0.3">
      <c r="A9" s="169" t="s">
        <v>244</v>
      </c>
      <c r="B9" s="169" t="s">
        <v>177</v>
      </c>
      <c r="C9" s="276"/>
      <c r="D9" s="261"/>
      <c r="E9" s="261"/>
      <c r="F9" s="261"/>
      <c r="G9" s="261"/>
      <c r="H9" s="261"/>
      <c r="I9" s="261"/>
    </row>
    <row r="10" spans="1:9" ht="15.6" customHeight="1" x14ac:dyDescent="0.3">
      <c r="A10" s="146">
        <v>1</v>
      </c>
      <c r="B10" s="149">
        <f>10.19*4-1.8*0.6*5</f>
        <v>35.36</v>
      </c>
      <c r="C10" s="276"/>
      <c r="D10" s="261"/>
      <c r="E10" s="261"/>
      <c r="F10" s="261"/>
      <c r="G10" s="261"/>
      <c r="H10" s="261"/>
      <c r="I10" s="261"/>
    </row>
    <row r="11" spans="1:9" ht="15.6" customHeight="1" x14ac:dyDescent="0.3">
      <c r="A11" s="147">
        <v>2</v>
      </c>
      <c r="B11" s="149">
        <f>11.66*4-1.8*0.6*5</f>
        <v>41.24</v>
      </c>
      <c r="C11" s="276"/>
      <c r="D11" s="261"/>
      <c r="E11" s="261"/>
      <c r="F11" s="261"/>
      <c r="G11" s="261"/>
      <c r="H11" s="261"/>
      <c r="I11" s="261"/>
    </row>
    <row r="12" spans="1:9" ht="15.6" customHeight="1" x14ac:dyDescent="0.3">
      <c r="A12" s="146">
        <v>3</v>
      </c>
      <c r="B12" s="149">
        <f>11.61*4-1.8*0.6*5</f>
        <v>41.04</v>
      </c>
      <c r="C12" s="276"/>
      <c r="D12" s="261"/>
      <c r="E12" s="261"/>
      <c r="F12" s="261"/>
      <c r="G12" s="261"/>
      <c r="H12" s="261"/>
      <c r="I12" s="261"/>
    </row>
    <row r="13" spans="1:9" ht="15.6" customHeight="1" x14ac:dyDescent="0.3">
      <c r="A13" s="167" t="s">
        <v>164</v>
      </c>
      <c r="B13" s="168">
        <f>SUM(B10:B12)</f>
        <v>117.63999999999999</v>
      </c>
      <c r="C13" s="276"/>
      <c r="D13" s="261"/>
      <c r="E13" s="261"/>
      <c r="F13" s="261"/>
      <c r="G13" s="261"/>
      <c r="H13" s="261"/>
      <c r="I13" s="261"/>
    </row>
  </sheetData>
  <mergeCells count="9">
    <mergeCell ref="C8:I13"/>
    <mergeCell ref="A7:I7"/>
    <mergeCell ref="A8:B8"/>
    <mergeCell ref="A1:I1"/>
    <mergeCell ref="B2:G2"/>
    <mergeCell ref="B3:G3"/>
    <mergeCell ref="B4:G4"/>
    <mergeCell ref="B5:G5"/>
    <mergeCell ref="B6:G6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K12" sqref="K12"/>
    </sheetView>
  </sheetViews>
  <sheetFormatPr defaultRowHeight="14.4" x14ac:dyDescent="0.3"/>
  <cols>
    <col min="1" max="1" width="6.33203125" style="140" customWidth="1"/>
    <col min="2" max="2" width="11.109375" style="140" customWidth="1"/>
    <col min="3" max="3" width="3.88671875" style="140" customWidth="1"/>
    <col min="4" max="4" width="8" style="140" customWidth="1"/>
    <col min="5" max="5" width="10.88671875" style="140" customWidth="1"/>
    <col min="6" max="6" width="2.33203125" style="140" customWidth="1"/>
    <col min="7" max="7" width="2.6640625" style="140" customWidth="1"/>
    <col min="8" max="8" width="10.5546875" style="140" customWidth="1"/>
    <col min="9" max="9" width="8.21875" style="140" customWidth="1"/>
    <col min="10" max="16384" width="8.88671875" style="140"/>
  </cols>
  <sheetData>
    <row r="1" spans="1:9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</row>
    <row r="2" spans="1:9" s="153" customFormat="1" ht="15.6" x14ac:dyDescent="0.3">
      <c r="A2" s="141" t="s">
        <v>0</v>
      </c>
      <c r="B2" s="290" t="s">
        <v>174</v>
      </c>
      <c r="C2" s="279"/>
      <c r="D2" s="279"/>
      <c r="E2" s="279"/>
      <c r="F2" s="279"/>
      <c r="G2" s="280"/>
      <c r="H2" s="142" t="s">
        <v>15</v>
      </c>
      <c r="I2" s="152" t="s">
        <v>8</v>
      </c>
    </row>
    <row r="3" spans="1:9" ht="19.8" customHeight="1" x14ac:dyDescent="0.3">
      <c r="A3" s="143">
        <v>1</v>
      </c>
      <c r="B3" s="291" t="s">
        <v>246</v>
      </c>
      <c r="C3" s="258"/>
      <c r="D3" s="258"/>
      <c r="E3" s="258"/>
      <c r="F3" s="258"/>
      <c r="G3" s="281"/>
      <c r="H3" s="143" t="s">
        <v>82</v>
      </c>
      <c r="I3" s="144">
        <f>B13</f>
        <v>353.36</v>
      </c>
    </row>
    <row r="4" spans="1:9" ht="32.4" customHeight="1" x14ac:dyDescent="0.3">
      <c r="A4" s="143">
        <v>2</v>
      </c>
      <c r="B4" s="291" t="s">
        <v>248</v>
      </c>
      <c r="C4" s="258"/>
      <c r="D4" s="258"/>
      <c r="E4" s="258"/>
      <c r="F4" s="258"/>
      <c r="G4" s="281"/>
      <c r="H4" s="143" t="s">
        <v>82</v>
      </c>
      <c r="I4" s="144">
        <f>I3</f>
        <v>353.36</v>
      </c>
    </row>
    <row r="5" spans="1:9" ht="32.4" customHeight="1" x14ac:dyDescent="0.3">
      <c r="A5" s="143">
        <v>3</v>
      </c>
      <c r="B5" s="291" t="s">
        <v>247</v>
      </c>
      <c r="C5" s="258"/>
      <c r="D5" s="258"/>
      <c r="E5" s="258"/>
      <c r="F5" s="258"/>
      <c r="G5" s="281"/>
      <c r="H5" s="143" t="s">
        <v>82</v>
      </c>
      <c r="I5" s="144">
        <f>I3</f>
        <v>353.36</v>
      </c>
    </row>
    <row r="6" spans="1:9" ht="35.4" customHeight="1" x14ac:dyDescent="0.3">
      <c r="A6" s="143">
        <v>4</v>
      </c>
      <c r="B6" s="291" t="s">
        <v>249</v>
      </c>
      <c r="C6" s="258"/>
      <c r="D6" s="258"/>
      <c r="E6" s="258"/>
      <c r="F6" s="258"/>
      <c r="G6" s="281"/>
      <c r="H6" s="143" t="s">
        <v>82</v>
      </c>
      <c r="I6" s="144">
        <f>I3</f>
        <v>353.36</v>
      </c>
    </row>
    <row r="7" spans="1:9" ht="15.6" x14ac:dyDescent="0.3">
      <c r="A7" s="259"/>
      <c r="B7" s="259"/>
      <c r="C7" s="259"/>
      <c r="D7" s="259"/>
      <c r="E7" s="259"/>
      <c r="F7" s="259"/>
      <c r="G7" s="259"/>
      <c r="H7" s="259"/>
      <c r="I7" s="259"/>
    </row>
    <row r="8" spans="1:9" ht="15.6" x14ac:dyDescent="0.3">
      <c r="A8" s="317" t="s">
        <v>313</v>
      </c>
      <c r="B8" s="317"/>
      <c r="C8" s="276"/>
      <c r="D8" s="261"/>
      <c r="E8" s="261"/>
      <c r="F8" s="261"/>
      <c r="G8" s="261"/>
      <c r="H8" s="261"/>
      <c r="I8" s="261"/>
    </row>
    <row r="9" spans="1:9" ht="30.6" customHeight="1" x14ac:dyDescent="0.3">
      <c r="A9" s="169" t="s">
        <v>244</v>
      </c>
      <c r="B9" s="169" t="s">
        <v>177</v>
      </c>
      <c r="C9" s="276"/>
      <c r="D9" s="261"/>
      <c r="E9" s="261"/>
      <c r="F9" s="261"/>
      <c r="G9" s="261"/>
      <c r="H9" s="261"/>
      <c r="I9" s="261"/>
    </row>
    <row r="10" spans="1:9" ht="15.6" customHeight="1" x14ac:dyDescent="0.3">
      <c r="A10" s="146">
        <v>1</v>
      </c>
      <c r="B10" s="149">
        <f>31.62*4-1.8*0.6*8</f>
        <v>117.84</v>
      </c>
      <c r="C10" s="276"/>
      <c r="D10" s="261"/>
      <c r="E10" s="261"/>
      <c r="F10" s="261"/>
      <c r="G10" s="261"/>
      <c r="H10" s="261"/>
      <c r="I10" s="261"/>
    </row>
    <row r="11" spans="1:9" ht="15.6" customHeight="1" x14ac:dyDescent="0.3">
      <c r="A11" s="147">
        <v>2</v>
      </c>
      <c r="B11" s="149">
        <f>30.35*4-1.8*0.6*8</f>
        <v>112.76</v>
      </c>
      <c r="C11" s="276"/>
      <c r="D11" s="261"/>
      <c r="E11" s="261"/>
      <c r="F11" s="261"/>
      <c r="G11" s="261"/>
      <c r="H11" s="261"/>
      <c r="I11" s="261"/>
    </row>
    <row r="12" spans="1:9" ht="15.6" customHeight="1" x14ac:dyDescent="0.3">
      <c r="A12" s="146">
        <v>3</v>
      </c>
      <c r="B12" s="149">
        <f>32.85*4-1.8*0.6*8</f>
        <v>122.76</v>
      </c>
      <c r="C12" s="276"/>
      <c r="D12" s="261"/>
      <c r="E12" s="261"/>
      <c r="F12" s="261"/>
      <c r="G12" s="261"/>
      <c r="H12" s="261"/>
      <c r="I12" s="261"/>
    </row>
    <row r="13" spans="1:9" ht="15.6" customHeight="1" x14ac:dyDescent="0.3">
      <c r="A13" s="167" t="s">
        <v>164</v>
      </c>
      <c r="B13" s="168">
        <f>SUM(B10:B12)</f>
        <v>353.36</v>
      </c>
      <c r="C13" s="276"/>
      <c r="D13" s="261"/>
      <c r="E13" s="261"/>
      <c r="F13" s="261"/>
      <c r="G13" s="261"/>
      <c r="H13" s="261"/>
      <c r="I13" s="261"/>
    </row>
  </sheetData>
  <mergeCells count="9">
    <mergeCell ref="A8:B8"/>
    <mergeCell ref="C8:I13"/>
    <mergeCell ref="A1:I1"/>
    <mergeCell ref="B2:G2"/>
    <mergeCell ref="B3:G3"/>
    <mergeCell ref="B4:G4"/>
    <mergeCell ref="A7:I7"/>
    <mergeCell ref="B5:G5"/>
    <mergeCell ref="B6:G6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K13" sqref="K13"/>
    </sheetView>
  </sheetViews>
  <sheetFormatPr defaultRowHeight="14.4" x14ac:dyDescent="0.3"/>
  <cols>
    <col min="1" max="1" width="6.33203125" style="140" customWidth="1"/>
    <col min="2" max="2" width="11.109375" style="140" customWidth="1"/>
    <col min="3" max="3" width="3.88671875" style="140" customWidth="1"/>
    <col min="4" max="4" width="8" style="140" customWidth="1"/>
    <col min="5" max="5" width="10.88671875" style="140" customWidth="1"/>
    <col min="6" max="6" width="2.33203125" style="140" customWidth="1"/>
    <col min="7" max="7" width="2.6640625" style="140" customWidth="1"/>
    <col min="8" max="8" width="10.33203125" style="140" customWidth="1"/>
    <col min="9" max="9" width="8.21875" style="140" customWidth="1"/>
    <col min="10" max="16384" width="8.88671875" style="140"/>
  </cols>
  <sheetData>
    <row r="1" spans="1:9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</row>
    <row r="2" spans="1:9" s="153" customFormat="1" ht="15.6" x14ac:dyDescent="0.3">
      <c r="A2" s="141" t="s">
        <v>0</v>
      </c>
      <c r="B2" s="290" t="s">
        <v>174</v>
      </c>
      <c r="C2" s="279"/>
      <c r="D2" s="279"/>
      <c r="E2" s="279"/>
      <c r="F2" s="279"/>
      <c r="G2" s="280"/>
      <c r="H2" s="142" t="s">
        <v>15</v>
      </c>
      <c r="I2" s="152" t="s">
        <v>8</v>
      </c>
    </row>
    <row r="3" spans="1:9" ht="20.399999999999999" customHeight="1" x14ac:dyDescent="0.3">
      <c r="A3" s="143">
        <v>1</v>
      </c>
      <c r="B3" s="291" t="s">
        <v>242</v>
      </c>
      <c r="C3" s="258"/>
      <c r="D3" s="258"/>
      <c r="E3" s="258"/>
      <c r="F3" s="258"/>
      <c r="G3" s="281"/>
      <c r="H3" s="143" t="s">
        <v>82</v>
      </c>
      <c r="I3" s="144">
        <f>B11</f>
        <v>222.72899999999998</v>
      </c>
    </row>
    <row r="4" spans="1:9" ht="20.399999999999999" customHeight="1" x14ac:dyDescent="0.3">
      <c r="A4" s="143">
        <v>2</v>
      </c>
      <c r="B4" s="291" t="s">
        <v>243</v>
      </c>
      <c r="C4" s="258"/>
      <c r="D4" s="258"/>
      <c r="E4" s="258"/>
      <c r="F4" s="258"/>
      <c r="G4" s="281"/>
      <c r="H4" s="143" t="s">
        <v>82</v>
      </c>
      <c r="I4" s="144">
        <f>E11</f>
        <v>79.56</v>
      </c>
    </row>
    <row r="5" spans="1:9" ht="15.6" x14ac:dyDescent="0.3">
      <c r="A5" s="259"/>
      <c r="B5" s="259"/>
      <c r="C5" s="259"/>
      <c r="D5" s="259"/>
      <c r="E5" s="259"/>
      <c r="F5" s="259"/>
      <c r="G5" s="259"/>
      <c r="H5" s="259"/>
      <c r="I5" s="259"/>
    </row>
    <row r="6" spans="1:9" ht="35.4" customHeight="1" x14ac:dyDescent="0.3">
      <c r="A6" s="317" t="s">
        <v>245</v>
      </c>
      <c r="B6" s="317"/>
      <c r="C6" s="322"/>
      <c r="D6" s="317" t="s">
        <v>243</v>
      </c>
      <c r="E6" s="317"/>
      <c r="F6" s="322"/>
      <c r="G6" s="322"/>
      <c r="H6" s="322"/>
      <c r="I6" s="322"/>
    </row>
    <row r="7" spans="1:9" ht="30.6" customHeight="1" x14ac:dyDescent="0.3">
      <c r="A7" s="169" t="s">
        <v>244</v>
      </c>
      <c r="B7" s="169" t="s">
        <v>177</v>
      </c>
      <c r="C7" s="322"/>
      <c r="D7" s="169" t="s">
        <v>244</v>
      </c>
      <c r="E7" s="169" t="s">
        <v>177</v>
      </c>
      <c r="F7" s="322"/>
      <c r="G7" s="322"/>
      <c r="H7" s="322"/>
      <c r="I7" s="322"/>
    </row>
    <row r="8" spans="1:9" ht="15.6" customHeight="1" x14ac:dyDescent="0.3">
      <c r="A8" s="146">
        <v>1</v>
      </c>
      <c r="B8" s="149">
        <f>19.43*3.9</f>
        <v>75.777000000000001</v>
      </c>
      <c r="C8" s="322"/>
      <c r="D8" s="146">
        <v>1</v>
      </c>
      <c r="E8" s="149">
        <f>12.18*2</f>
        <v>24.36</v>
      </c>
      <c r="F8" s="322"/>
      <c r="G8" s="322"/>
      <c r="H8" s="322"/>
      <c r="I8" s="322"/>
    </row>
    <row r="9" spans="1:9" ht="15.6" customHeight="1" x14ac:dyDescent="0.3">
      <c r="A9" s="147">
        <v>2</v>
      </c>
      <c r="B9" s="149">
        <f>18.89*3.9</f>
        <v>73.671000000000006</v>
      </c>
      <c r="C9" s="322"/>
      <c r="D9" s="147">
        <v>2</v>
      </c>
      <c r="E9" s="150">
        <f>13.18*2</f>
        <v>26.36</v>
      </c>
      <c r="F9" s="322"/>
      <c r="G9" s="322"/>
      <c r="H9" s="322"/>
      <c r="I9" s="322"/>
    </row>
    <row r="10" spans="1:9" ht="15.6" customHeight="1" x14ac:dyDescent="0.3">
      <c r="A10" s="146">
        <v>3</v>
      </c>
      <c r="B10" s="149">
        <f>18.79*3.9</f>
        <v>73.280999999999992</v>
      </c>
      <c r="C10" s="322"/>
      <c r="D10" s="146">
        <v>3</v>
      </c>
      <c r="E10" s="149">
        <f>14.42*2</f>
        <v>28.84</v>
      </c>
      <c r="F10" s="322"/>
      <c r="G10" s="322"/>
      <c r="H10" s="322"/>
      <c r="I10" s="322"/>
    </row>
    <row r="11" spans="1:9" ht="15.6" customHeight="1" x14ac:dyDescent="0.3">
      <c r="A11" s="167" t="s">
        <v>164</v>
      </c>
      <c r="B11" s="168">
        <f>SUM(B8:B10)</f>
        <v>222.72899999999998</v>
      </c>
      <c r="C11" s="322"/>
      <c r="D11" s="167" t="s">
        <v>164</v>
      </c>
      <c r="E11" s="168">
        <f>SUM(E8:E10)</f>
        <v>79.56</v>
      </c>
      <c r="F11" s="322"/>
      <c r="G11" s="322"/>
      <c r="H11" s="322"/>
      <c r="I11" s="322"/>
    </row>
  </sheetData>
  <mergeCells count="9">
    <mergeCell ref="A1:I1"/>
    <mergeCell ref="B2:G2"/>
    <mergeCell ref="B3:G3"/>
    <mergeCell ref="A5:I5"/>
    <mergeCell ref="C6:C11"/>
    <mergeCell ref="B4:G4"/>
    <mergeCell ref="A6:B6"/>
    <mergeCell ref="D6:E6"/>
    <mergeCell ref="F6:I11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0"/>
  <sheetViews>
    <sheetView zoomScale="70" zoomScaleNormal="70" workbookViewId="0">
      <selection activeCell="B5" sqref="B5"/>
    </sheetView>
  </sheetViews>
  <sheetFormatPr defaultRowHeight="13.2" x14ac:dyDescent="0.3"/>
  <cols>
    <col min="1" max="1" width="12" style="161" customWidth="1"/>
    <col min="2" max="2" width="7.44140625" style="161" customWidth="1"/>
    <col min="3" max="3" width="7.21875" style="161" customWidth="1"/>
    <col min="4" max="4" width="1.6640625" style="161" customWidth="1"/>
    <col min="5" max="6" width="7.6640625" style="161" customWidth="1"/>
    <col min="7" max="7" width="7.44140625" style="161" customWidth="1"/>
    <col min="8" max="8" width="8.77734375" style="161" customWidth="1"/>
    <col min="9" max="16384" width="8.88671875" style="161"/>
  </cols>
  <sheetData>
    <row r="1" spans="1:9" ht="39.6" x14ac:dyDescent="0.3">
      <c r="A1" s="160" t="s">
        <v>208</v>
      </c>
      <c r="B1" s="160" t="s">
        <v>209</v>
      </c>
      <c r="C1" s="160" t="s">
        <v>210</v>
      </c>
      <c r="D1" s="323"/>
      <c r="E1" s="271" t="s">
        <v>208</v>
      </c>
      <c r="F1" s="271"/>
      <c r="G1" s="160" t="s">
        <v>218</v>
      </c>
      <c r="H1" s="160" t="s">
        <v>210</v>
      </c>
      <c r="I1" s="160" t="s">
        <v>216</v>
      </c>
    </row>
    <row r="2" spans="1:9" ht="52.8" x14ac:dyDescent="0.3">
      <c r="A2" s="160" t="s">
        <v>235</v>
      </c>
      <c r="B2" s="162">
        <f>F443</f>
        <v>224</v>
      </c>
      <c r="C2" s="162">
        <f>G443</f>
        <v>538</v>
      </c>
      <c r="D2" s="323"/>
      <c r="E2" s="268" t="s">
        <v>238</v>
      </c>
      <c r="F2" s="270"/>
      <c r="G2" s="160">
        <v>200</v>
      </c>
      <c r="H2" s="162">
        <f>C2</f>
        <v>538</v>
      </c>
      <c r="I2" s="162">
        <f>H2/5</f>
        <v>107.6</v>
      </c>
    </row>
    <row r="3" spans="1:9" ht="52.8" x14ac:dyDescent="0.3">
      <c r="A3" s="160" t="s">
        <v>236</v>
      </c>
      <c r="B3" s="162">
        <f>F452</f>
        <v>238</v>
      </c>
      <c r="C3" s="162">
        <f>G452</f>
        <v>562</v>
      </c>
      <c r="D3" s="323"/>
      <c r="E3" s="268" t="s">
        <v>239</v>
      </c>
      <c r="F3" s="270"/>
      <c r="G3" s="160">
        <v>200</v>
      </c>
      <c r="H3" s="162">
        <f t="shared" ref="H3:H4" si="0">C3</f>
        <v>562</v>
      </c>
      <c r="I3" s="162">
        <f t="shared" ref="I3:I4" si="1">H3/5</f>
        <v>112.4</v>
      </c>
    </row>
    <row r="4" spans="1:9" ht="52.8" x14ac:dyDescent="0.3">
      <c r="A4" s="160" t="s">
        <v>237</v>
      </c>
      <c r="B4" s="162">
        <f>F460</f>
        <v>260</v>
      </c>
      <c r="C4" s="162">
        <f>G460</f>
        <v>604</v>
      </c>
      <c r="D4" s="323"/>
      <c r="E4" s="268" t="s">
        <v>240</v>
      </c>
      <c r="F4" s="270"/>
      <c r="G4" s="160">
        <v>200</v>
      </c>
      <c r="H4" s="162">
        <f t="shared" si="0"/>
        <v>604</v>
      </c>
      <c r="I4" s="162">
        <f t="shared" si="1"/>
        <v>120.8</v>
      </c>
    </row>
    <row r="5" spans="1:9" s="166" customFormat="1" x14ac:dyDescent="0.3">
      <c r="A5" s="163" t="s">
        <v>241</v>
      </c>
      <c r="B5" s="164">
        <f>SUM(B2:B4)</f>
        <v>722</v>
      </c>
      <c r="C5" s="164">
        <f>SUM(C2:C4)</f>
        <v>1704</v>
      </c>
      <c r="D5" s="324"/>
      <c r="E5" s="274" t="s">
        <v>241</v>
      </c>
      <c r="F5" s="275"/>
      <c r="G5" s="163"/>
      <c r="H5" s="164">
        <f>SUM(H2:H4)</f>
        <v>1704</v>
      </c>
      <c r="I5" s="164">
        <f>SUM(I2:I4)</f>
        <v>340.8</v>
      </c>
    </row>
    <row r="6" spans="1:9" hidden="1" x14ac:dyDescent="0.3">
      <c r="A6" s="268" t="s">
        <v>217</v>
      </c>
      <c r="B6" s="269"/>
      <c r="C6" s="269"/>
      <c r="D6" s="269"/>
      <c r="E6" s="269"/>
      <c r="F6" s="269"/>
      <c r="G6" s="269"/>
      <c r="H6" s="270"/>
    </row>
    <row r="7" spans="1:9" hidden="1" x14ac:dyDescent="0.3">
      <c r="A7" s="268" t="s">
        <v>211</v>
      </c>
      <c r="B7" s="269"/>
      <c r="C7" s="269"/>
      <c r="D7" s="269"/>
      <c r="E7" s="269"/>
      <c r="F7" s="269"/>
      <c r="G7" s="269"/>
      <c r="H7" s="270"/>
    </row>
    <row r="8" spans="1:9" ht="26.4" hidden="1" x14ac:dyDescent="0.3">
      <c r="A8" s="160" t="s">
        <v>1</v>
      </c>
      <c r="B8" s="160" t="s">
        <v>210</v>
      </c>
      <c r="C8" s="271" t="s">
        <v>212</v>
      </c>
      <c r="D8" s="271"/>
      <c r="E8" s="160" t="s">
        <v>213</v>
      </c>
      <c r="F8" s="160" t="s">
        <v>214</v>
      </c>
      <c r="G8" s="160" t="s">
        <v>215</v>
      </c>
      <c r="H8" s="160" t="s">
        <v>216</v>
      </c>
    </row>
    <row r="9" spans="1:9" hidden="1" x14ac:dyDescent="0.3">
      <c r="A9" s="160">
        <v>1</v>
      </c>
      <c r="B9" s="160">
        <v>5</v>
      </c>
      <c r="C9" s="271">
        <v>3</v>
      </c>
      <c r="D9" s="271"/>
      <c r="E9" s="160">
        <v>3</v>
      </c>
      <c r="F9" s="160">
        <v>1</v>
      </c>
      <c r="G9" s="160">
        <f>B9*F9</f>
        <v>5</v>
      </c>
      <c r="H9" s="160"/>
    </row>
    <row r="10" spans="1:9" hidden="1" x14ac:dyDescent="0.3">
      <c r="A10" s="160">
        <v>2</v>
      </c>
      <c r="B10" s="160">
        <v>4</v>
      </c>
      <c r="C10" s="271"/>
      <c r="D10" s="271"/>
      <c r="E10" s="160"/>
      <c r="F10" s="160"/>
      <c r="G10" s="160"/>
      <c r="H10" s="160"/>
    </row>
    <row r="11" spans="1:9" hidden="1" x14ac:dyDescent="0.3">
      <c r="A11" s="160">
        <v>3</v>
      </c>
      <c r="B11" s="160">
        <v>2</v>
      </c>
      <c r="C11" s="271"/>
      <c r="D11" s="271"/>
      <c r="E11" s="160"/>
      <c r="F11" s="160"/>
      <c r="G11" s="160"/>
      <c r="H11" s="160"/>
    </row>
    <row r="12" spans="1:9" hidden="1" x14ac:dyDescent="0.3">
      <c r="A12" s="160">
        <v>4</v>
      </c>
      <c r="B12" s="160">
        <v>1</v>
      </c>
      <c r="C12" s="271"/>
      <c r="D12" s="271"/>
      <c r="E12" s="160"/>
      <c r="F12" s="160"/>
      <c r="G12" s="160"/>
      <c r="H12" s="160"/>
    </row>
    <row r="13" spans="1:9" hidden="1" x14ac:dyDescent="0.3">
      <c r="A13" s="160">
        <v>5</v>
      </c>
      <c r="B13" s="160">
        <v>6</v>
      </c>
      <c r="C13" s="271"/>
      <c r="D13" s="271"/>
      <c r="E13" s="160"/>
      <c r="F13" s="160"/>
      <c r="G13" s="160"/>
      <c r="H13" s="160"/>
    </row>
    <row r="14" spans="1:9" hidden="1" x14ac:dyDescent="0.3">
      <c r="A14" s="160">
        <v>6</v>
      </c>
      <c r="B14" s="160">
        <v>8</v>
      </c>
      <c r="C14" s="271"/>
      <c r="D14" s="271"/>
      <c r="E14" s="160"/>
      <c r="F14" s="160"/>
      <c r="G14" s="160"/>
      <c r="H14" s="160"/>
    </row>
    <row r="15" spans="1:9" hidden="1" x14ac:dyDescent="0.3">
      <c r="A15" s="160">
        <v>7</v>
      </c>
      <c r="B15" s="160">
        <v>4</v>
      </c>
      <c r="C15" s="271"/>
      <c r="D15" s="271"/>
      <c r="E15" s="160"/>
      <c r="F15" s="160"/>
      <c r="G15" s="160"/>
      <c r="H15" s="160"/>
    </row>
    <row r="16" spans="1:9" hidden="1" x14ac:dyDescent="0.3">
      <c r="A16" s="160">
        <v>8</v>
      </c>
      <c r="B16" s="160">
        <v>2</v>
      </c>
      <c r="C16" s="271"/>
      <c r="D16" s="271"/>
      <c r="E16" s="160"/>
      <c r="F16" s="160"/>
      <c r="G16" s="160"/>
      <c r="H16" s="160"/>
    </row>
    <row r="17" spans="1:8" hidden="1" x14ac:dyDescent="0.3">
      <c r="A17" s="160">
        <v>9</v>
      </c>
      <c r="B17" s="160">
        <v>4</v>
      </c>
      <c r="C17" s="271"/>
      <c r="D17" s="271"/>
      <c r="E17" s="160"/>
      <c r="F17" s="160"/>
      <c r="G17" s="160"/>
      <c r="H17" s="160"/>
    </row>
    <row r="18" spans="1:8" hidden="1" x14ac:dyDescent="0.3">
      <c r="A18" s="160">
        <v>10</v>
      </c>
      <c r="B18" s="160">
        <v>1</v>
      </c>
      <c r="C18" s="271"/>
      <c r="D18" s="271"/>
      <c r="E18" s="160"/>
      <c r="F18" s="160"/>
      <c r="G18" s="160"/>
      <c r="H18" s="160"/>
    </row>
    <row r="19" spans="1:8" hidden="1" x14ac:dyDescent="0.3">
      <c r="A19" s="160">
        <v>11</v>
      </c>
      <c r="B19" s="160">
        <v>1</v>
      </c>
      <c r="C19" s="271"/>
      <c r="D19" s="271"/>
      <c r="E19" s="160"/>
      <c r="F19" s="160"/>
      <c r="G19" s="160"/>
      <c r="H19" s="160"/>
    </row>
    <row r="20" spans="1:8" hidden="1" x14ac:dyDescent="0.3">
      <c r="A20" s="160">
        <v>12</v>
      </c>
      <c r="B20" s="160">
        <v>5</v>
      </c>
      <c r="C20" s="271"/>
      <c r="D20" s="271"/>
      <c r="E20" s="160"/>
      <c r="F20" s="160"/>
      <c r="G20" s="160"/>
      <c r="H20" s="160"/>
    </row>
    <row r="21" spans="1:8" hidden="1" x14ac:dyDescent="0.3">
      <c r="A21" s="160">
        <v>13</v>
      </c>
      <c r="B21" s="160">
        <v>6</v>
      </c>
      <c r="C21" s="271"/>
      <c r="D21" s="271"/>
      <c r="E21" s="160"/>
      <c r="F21" s="160"/>
      <c r="G21" s="160"/>
      <c r="H21" s="160"/>
    </row>
    <row r="22" spans="1:8" hidden="1" x14ac:dyDescent="0.3">
      <c r="A22" s="160">
        <v>14</v>
      </c>
      <c r="B22" s="160">
        <v>4</v>
      </c>
      <c r="C22" s="271"/>
      <c r="D22" s="271"/>
      <c r="E22" s="160"/>
      <c r="F22" s="160"/>
      <c r="G22" s="160"/>
      <c r="H22" s="160"/>
    </row>
    <row r="23" spans="1:8" hidden="1" x14ac:dyDescent="0.3">
      <c r="A23" s="160">
        <v>15</v>
      </c>
      <c r="B23" s="160">
        <v>8</v>
      </c>
      <c r="C23" s="271"/>
      <c r="D23" s="271"/>
      <c r="E23" s="160"/>
      <c r="F23" s="160"/>
      <c r="G23" s="160"/>
      <c r="H23" s="160"/>
    </row>
    <row r="24" spans="1:8" hidden="1" x14ac:dyDescent="0.3">
      <c r="A24" s="160">
        <v>16</v>
      </c>
      <c r="B24" s="160">
        <v>2</v>
      </c>
      <c r="C24" s="271"/>
      <c r="D24" s="271"/>
      <c r="E24" s="160"/>
      <c r="F24" s="160"/>
      <c r="G24" s="160"/>
      <c r="H24" s="160"/>
    </row>
    <row r="25" spans="1:8" hidden="1" x14ac:dyDescent="0.3">
      <c r="A25" s="160">
        <v>17</v>
      </c>
      <c r="B25" s="160">
        <v>4</v>
      </c>
      <c r="C25" s="271"/>
      <c r="D25" s="271"/>
      <c r="E25" s="160"/>
      <c r="F25" s="160"/>
      <c r="G25" s="160"/>
      <c r="H25" s="160"/>
    </row>
    <row r="26" spans="1:8" hidden="1" x14ac:dyDescent="0.3">
      <c r="A26" s="160">
        <v>18</v>
      </c>
      <c r="B26" s="160">
        <v>2</v>
      </c>
      <c r="C26" s="271"/>
      <c r="D26" s="271"/>
      <c r="E26" s="160"/>
      <c r="F26" s="160"/>
      <c r="G26" s="160"/>
      <c r="H26" s="160"/>
    </row>
    <row r="27" spans="1:8" hidden="1" x14ac:dyDescent="0.3">
      <c r="A27" s="160">
        <v>19</v>
      </c>
      <c r="B27" s="160">
        <v>4</v>
      </c>
      <c r="C27" s="271"/>
      <c r="D27" s="271"/>
      <c r="E27" s="160"/>
      <c r="F27" s="160"/>
      <c r="G27" s="160"/>
      <c r="H27" s="160"/>
    </row>
    <row r="28" spans="1:8" hidden="1" x14ac:dyDescent="0.3">
      <c r="A28" s="160">
        <v>20</v>
      </c>
      <c r="B28" s="160">
        <v>1</v>
      </c>
      <c r="C28" s="271"/>
      <c r="D28" s="271"/>
      <c r="E28" s="160"/>
      <c r="F28" s="160"/>
      <c r="G28" s="160"/>
      <c r="H28" s="160"/>
    </row>
    <row r="29" spans="1:8" hidden="1" x14ac:dyDescent="0.3">
      <c r="A29" s="160">
        <v>21</v>
      </c>
      <c r="B29" s="160">
        <v>5</v>
      </c>
      <c r="C29" s="271"/>
      <c r="D29" s="271"/>
      <c r="E29" s="160"/>
      <c r="F29" s="160"/>
      <c r="G29" s="160"/>
      <c r="H29" s="160"/>
    </row>
    <row r="30" spans="1:8" hidden="1" x14ac:dyDescent="0.3">
      <c r="A30" s="160">
        <v>22</v>
      </c>
      <c r="B30" s="160">
        <v>4</v>
      </c>
      <c r="C30" s="271"/>
      <c r="D30" s="271"/>
      <c r="E30" s="160"/>
      <c r="F30" s="160"/>
      <c r="G30" s="160"/>
      <c r="H30" s="160"/>
    </row>
    <row r="31" spans="1:8" hidden="1" x14ac:dyDescent="0.3">
      <c r="A31" s="160">
        <v>23</v>
      </c>
      <c r="B31" s="160">
        <v>6</v>
      </c>
      <c r="C31" s="271"/>
      <c r="D31" s="271"/>
      <c r="E31" s="160"/>
      <c r="F31" s="160"/>
      <c r="G31" s="160"/>
      <c r="H31" s="160"/>
    </row>
    <row r="32" spans="1:8" hidden="1" x14ac:dyDescent="0.3">
      <c r="A32" s="160">
        <v>24</v>
      </c>
      <c r="B32" s="160">
        <v>8</v>
      </c>
      <c r="C32" s="271"/>
      <c r="D32" s="271"/>
      <c r="E32" s="160"/>
      <c r="F32" s="160"/>
      <c r="G32" s="160"/>
      <c r="H32" s="160"/>
    </row>
    <row r="33" spans="1:8" hidden="1" x14ac:dyDescent="0.3">
      <c r="A33" s="160">
        <v>25</v>
      </c>
      <c r="B33" s="160">
        <v>2</v>
      </c>
      <c r="C33" s="271"/>
      <c r="D33" s="271"/>
      <c r="E33" s="160"/>
      <c r="F33" s="160"/>
      <c r="G33" s="160"/>
      <c r="H33" s="160"/>
    </row>
    <row r="34" spans="1:8" hidden="1" x14ac:dyDescent="0.3">
      <c r="A34" s="160">
        <v>26</v>
      </c>
      <c r="B34" s="160">
        <v>4</v>
      </c>
      <c r="C34" s="271"/>
      <c r="D34" s="271"/>
      <c r="E34" s="160"/>
      <c r="F34" s="160"/>
      <c r="G34" s="160"/>
      <c r="H34" s="160"/>
    </row>
    <row r="35" spans="1:8" hidden="1" x14ac:dyDescent="0.3">
      <c r="A35" s="160">
        <v>27</v>
      </c>
      <c r="B35" s="160">
        <v>2</v>
      </c>
      <c r="C35" s="271"/>
      <c r="D35" s="271"/>
      <c r="E35" s="160"/>
      <c r="F35" s="160"/>
      <c r="G35" s="160"/>
      <c r="H35" s="160"/>
    </row>
    <row r="36" spans="1:8" hidden="1" x14ac:dyDescent="0.3">
      <c r="A36" s="160">
        <v>28</v>
      </c>
      <c r="B36" s="160">
        <v>4</v>
      </c>
      <c r="C36" s="271"/>
      <c r="D36" s="271"/>
      <c r="E36" s="160"/>
      <c r="F36" s="160"/>
      <c r="G36" s="160"/>
      <c r="H36" s="160"/>
    </row>
    <row r="37" spans="1:8" hidden="1" x14ac:dyDescent="0.3">
      <c r="A37" s="160">
        <v>29</v>
      </c>
      <c r="B37" s="160">
        <v>1</v>
      </c>
      <c r="C37" s="271"/>
      <c r="D37" s="271"/>
      <c r="E37" s="160"/>
      <c r="F37" s="160"/>
      <c r="G37" s="160"/>
      <c r="H37" s="160"/>
    </row>
    <row r="38" spans="1:8" hidden="1" x14ac:dyDescent="0.3">
      <c r="A38" s="160">
        <v>30</v>
      </c>
      <c r="B38" s="160">
        <v>5</v>
      </c>
      <c r="C38" s="271"/>
      <c r="D38" s="271"/>
      <c r="E38" s="160"/>
      <c r="F38" s="160"/>
      <c r="G38" s="160"/>
      <c r="H38" s="160"/>
    </row>
    <row r="39" spans="1:8" hidden="1" x14ac:dyDescent="0.3">
      <c r="A39" s="160">
        <v>31</v>
      </c>
      <c r="B39" s="160">
        <v>6</v>
      </c>
      <c r="C39" s="271"/>
      <c r="D39" s="271"/>
      <c r="E39" s="160"/>
      <c r="F39" s="160"/>
      <c r="G39" s="160"/>
      <c r="H39" s="160"/>
    </row>
    <row r="40" spans="1:8" hidden="1" x14ac:dyDescent="0.3">
      <c r="A40" s="160">
        <v>32</v>
      </c>
      <c r="B40" s="160">
        <v>4</v>
      </c>
      <c r="C40" s="271"/>
      <c r="D40" s="271"/>
      <c r="E40" s="160"/>
      <c r="F40" s="160"/>
      <c r="G40" s="160"/>
      <c r="H40" s="160"/>
    </row>
    <row r="41" spans="1:8" hidden="1" x14ac:dyDescent="0.3">
      <c r="A41" s="160">
        <v>33</v>
      </c>
      <c r="B41" s="160">
        <v>8</v>
      </c>
      <c r="C41" s="271"/>
      <c r="D41" s="271"/>
      <c r="E41" s="160"/>
      <c r="F41" s="160"/>
      <c r="G41" s="160"/>
      <c r="H41" s="160"/>
    </row>
    <row r="42" spans="1:8" hidden="1" x14ac:dyDescent="0.3">
      <c r="A42" s="160">
        <v>34</v>
      </c>
      <c r="B42" s="160">
        <v>2</v>
      </c>
      <c r="C42" s="271"/>
      <c r="D42" s="271"/>
      <c r="E42" s="160"/>
      <c r="F42" s="160"/>
      <c r="G42" s="160"/>
      <c r="H42" s="160"/>
    </row>
    <row r="43" spans="1:8" hidden="1" x14ac:dyDescent="0.3">
      <c r="A43" s="160">
        <v>35</v>
      </c>
      <c r="B43" s="160">
        <v>4</v>
      </c>
      <c r="C43" s="271"/>
      <c r="D43" s="271"/>
      <c r="E43" s="160"/>
      <c r="F43" s="160"/>
      <c r="G43" s="160"/>
      <c r="H43" s="160"/>
    </row>
    <row r="44" spans="1:8" hidden="1" x14ac:dyDescent="0.3">
      <c r="A44" s="160">
        <v>36</v>
      </c>
      <c r="B44" s="160">
        <v>2</v>
      </c>
      <c r="C44" s="271"/>
      <c r="D44" s="271"/>
      <c r="E44" s="160"/>
      <c r="F44" s="160"/>
      <c r="G44" s="160"/>
      <c r="H44" s="160"/>
    </row>
    <row r="45" spans="1:8" hidden="1" x14ac:dyDescent="0.3">
      <c r="A45" s="160">
        <v>37</v>
      </c>
      <c r="B45" s="160">
        <v>4</v>
      </c>
      <c r="C45" s="271"/>
      <c r="D45" s="271"/>
      <c r="E45" s="160"/>
      <c r="F45" s="160"/>
      <c r="G45" s="160"/>
      <c r="H45" s="160"/>
    </row>
    <row r="46" spans="1:8" hidden="1" x14ac:dyDescent="0.3">
      <c r="A46" s="160">
        <v>38</v>
      </c>
      <c r="B46" s="160">
        <v>1</v>
      </c>
      <c r="C46" s="271"/>
      <c r="D46" s="271"/>
      <c r="E46" s="160"/>
      <c r="F46" s="160"/>
      <c r="G46" s="160"/>
      <c r="H46" s="160"/>
    </row>
    <row r="47" spans="1:8" hidden="1" x14ac:dyDescent="0.3">
      <c r="A47" s="160">
        <v>39</v>
      </c>
      <c r="B47" s="160">
        <v>6</v>
      </c>
      <c r="C47" s="271"/>
      <c r="D47" s="271"/>
      <c r="E47" s="160"/>
      <c r="F47" s="160"/>
      <c r="G47" s="160"/>
      <c r="H47" s="160"/>
    </row>
    <row r="48" spans="1:8" hidden="1" x14ac:dyDescent="0.3">
      <c r="A48" s="160">
        <v>40</v>
      </c>
      <c r="B48" s="160">
        <v>5</v>
      </c>
      <c r="C48" s="271"/>
      <c r="D48" s="271"/>
      <c r="E48" s="160"/>
      <c r="F48" s="160"/>
      <c r="G48" s="160"/>
      <c r="H48" s="160"/>
    </row>
    <row r="49" spans="1:8" hidden="1" x14ac:dyDescent="0.3">
      <c r="A49" s="160">
        <v>41</v>
      </c>
      <c r="B49" s="160">
        <v>8</v>
      </c>
      <c r="C49" s="271"/>
      <c r="D49" s="271"/>
      <c r="E49" s="160"/>
      <c r="F49" s="160"/>
      <c r="G49" s="160"/>
      <c r="H49" s="160"/>
    </row>
    <row r="50" spans="1:8" hidden="1" x14ac:dyDescent="0.3">
      <c r="A50" s="160">
        <v>42</v>
      </c>
      <c r="B50" s="160">
        <v>4</v>
      </c>
      <c r="C50" s="271"/>
      <c r="D50" s="271"/>
      <c r="E50" s="160"/>
      <c r="F50" s="160"/>
      <c r="G50" s="160"/>
      <c r="H50" s="160"/>
    </row>
    <row r="51" spans="1:8" hidden="1" x14ac:dyDescent="0.3">
      <c r="A51" s="160">
        <v>43</v>
      </c>
      <c r="B51" s="160">
        <v>2</v>
      </c>
      <c r="C51" s="271"/>
      <c r="D51" s="271"/>
      <c r="E51" s="160"/>
      <c r="F51" s="160"/>
      <c r="G51" s="160"/>
      <c r="H51" s="160"/>
    </row>
    <row r="52" spans="1:8" hidden="1" x14ac:dyDescent="0.3">
      <c r="A52" s="160">
        <v>44</v>
      </c>
      <c r="B52" s="160">
        <v>3</v>
      </c>
      <c r="C52" s="271"/>
      <c r="D52" s="271"/>
      <c r="E52" s="160"/>
      <c r="F52" s="160"/>
      <c r="G52" s="160"/>
      <c r="H52" s="160"/>
    </row>
    <row r="53" spans="1:8" hidden="1" x14ac:dyDescent="0.3">
      <c r="A53" s="160">
        <v>45</v>
      </c>
      <c r="B53" s="160">
        <v>1</v>
      </c>
      <c r="C53" s="271"/>
      <c r="D53" s="271"/>
      <c r="E53" s="160"/>
      <c r="F53" s="160"/>
      <c r="G53" s="160"/>
      <c r="H53" s="160"/>
    </row>
    <row r="54" spans="1:8" hidden="1" x14ac:dyDescent="0.3">
      <c r="A54" s="160">
        <v>46</v>
      </c>
      <c r="B54" s="160">
        <v>5</v>
      </c>
      <c r="C54" s="271"/>
      <c r="D54" s="271"/>
      <c r="E54" s="160"/>
      <c r="F54" s="160"/>
      <c r="G54" s="160"/>
      <c r="H54" s="160"/>
    </row>
    <row r="55" spans="1:8" hidden="1" x14ac:dyDescent="0.3">
      <c r="A55" s="160">
        <v>47</v>
      </c>
      <c r="B55" s="160">
        <v>5</v>
      </c>
      <c r="C55" s="271"/>
      <c r="D55" s="271"/>
      <c r="E55" s="160"/>
      <c r="F55" s="160"/>
      <c r="G55" s="160"/>
      <c r="H55" s="160"/>
    </row>
    <row r="56" spans="1:8" hidden="1" x14ac:dyDescent="0.3">
      <c r="A56" s="160">
        <v>48</v>
      </c>
      <c r="B56" s="160">
        <v>8</v>
      </c>
      <c r="C56" s="271"/>
      <c r="D56" s="271"/>
      <c r="E56" s="160"/>
      <c r="F56" s="160"/>
      <c r="G56" s="160"/>
      <c r="H56" s="160"/>
    </row>
    <row r="57" spans="1:8" hidden="1" x14ac:dyDescent="0.3">
      <c r="A57" s="160">
        <v>49</v>
      </c>
      <c r="B57" s="160">
        <v>3</v>
      </c>
      <c r="C57" s="271"/>
      <c r="D57" s="271"/>
      <c r="E57" s="160"/>
      <c r="F57" s="160"/>
      <c r="G57" s="160"/>
      <c r="H57" s="160"/>
    </row>
    <row r="58" spans="1:8" hidden="1" x14ac:dyDescent="0.3">
      <c r="A58" s="160">
        <v>50</v>
      </c>
      <c r="B58" s="160">
        <v>1.5</v>
      </c>
      <c r="C58" s="271"/>
      <c r="D58" s="271"/>
      <c r="E58" s="160"/>
      <c r="F58" s="160"/>
      <c r="G58" s="160"/>
      <c r="H58" s="160"/>
    </row>
    <row r="59" spans="1:8" hidden="1" x14ac:dyDescent="0.3">
      <c r="A59" s="160">
        <v>51</v>
      </c>
      <c r="B59" s="160">
        <v>4</v>
      </c>
      <c r="C59" s="271"/>
      <c r="D59" s="271"/>
      <c r="E59" s="160"/>
      <c r="F59" s="160"/>
      <c r="G59" s="160"/>
      <c r="H59" s="160"/>
    </row>
    <row r="60" spans="1:8" hidden="1" x14ac:dyDescent="0.3">
      <c r="A60" s="160">
        <v>52</v>
      </c>
      <c r="B60" s="160">
        <v>1</v>
      </c>
      <c r="C60" s="271"/>
      <c r="D60" s="271"/>
      <c r="E60" s="160"/>
      <c r="F60" s="160"/>
      <c r="G60" s="160"/>
      <c r="H60" s="160"/>
    </row>
    <row r="61" spans="1:8" hidden="1" x14ac:dyDescent="0.3">
      <c r="A61" s="160">
        <v>53</v>
      </c>
      <c r="B61" s="160">
        <v>1</v>
      </c>
      <c r="C61" s="271"/>
      <c r="D61" s="271"/>
      <c r="E61" s="160"/>
      <c r="F61" s="160"/>
      <c r="G61" s="160"/>
      <c r="H61" s="160"/>
    </row>
    <row r="62" spans="1:8" hidden="1" x14ac:dyDescent="0.3">
      <c r="A62" s="160">
        <v>54</v>
      </c>
      <c r="B62" s="160">
        <v>1</v>
      </c>
      <c r="C62" s="271"/>
      <c r="D62" s="271"/>
      <c r="E62" s="160"/>
      <c r="F62" s="160"/>
      <c r="G62" s="160"/>
      <c r="H62" s="160"/>
    </row>
    <row r="63" spans="1:8" hidden="1" x14ac:dyDescent="0.3">
      <c r="A63" s="160">
        <v>55</v>
      </c>
      <c r="B63" s="160">
        <v>1.6</v>
      </c>
      <c r="C63" s="271"/>
      <c r="D63" s="271"/>
      <c r="E63" s="160"/>
      <c r="F63" s="160"/>
      <c r="G63" s="160"/>
      <c r="H63" s="160"/>
    </row>
    <row r="64" spans="1:8" hidden="1" x14ac:dyDescent="0.3">
      <c r="A64" s="160">
        <v>56</v>
      </c>
      <c r="B64" s="160">
        <v>4</v>
      </c>
      <c r="C64" s="271"/>
      <c r="D64" s="271"/>
      <c r="E64" s="160"/>
      <c r="F64" s="160"/>
      <c r="G64" s="160"/>
      <c r="H64" s="160"/>
    </row>
    <row r="65" spans="1:8" hidden="1" x14ac:dyDescent="0.3">
      <c r="A65" s="160">
        <v>57</v>
      </c>
      <c r="B65" s="160">
        <v>1</v>
      </c>
      <c r="C65" s="271"/>
      <c r="D65" s="271"/>
      <c r="E65" s="160"/>
      <c r="F65" s="160"/>
      <c r="G65" s="160"/>
      <c r="H65" s="160"/>
    </row>
    <row r="66" spans="1:8" hidden="1" x14ac:dyDescent="0.3">
      <c r="A66" s="160">
        <v>58</v>
      </c>
      <c r="B66" s="160">
        <v>2</v>
      </c>
      <c r="C66" s="271"/>
      <c r="D66" s="271"/>
      <c r="E66" s="160"/>
      <c r="F66" s="160"/>
      <c r="G66" s="160"/>
      <c r="H66" s="160"/>
    </row>
    <row r="67" spans="1:8" hidden="1" x14ac:dyDescent="0.3">
      <c r="A67" s="160">
        <v>59</v>
      </c>
      <c r="B67" s="160">
        <v>3</v>
      </c>
      <c r="C67" s="271"/>
      <c r="D67" s="271"/>
      <c r="E67" s="160"/>
      <c r="F67" s="160"/>
      <c r="G67" s="160"/>
      <c r="H67" s="160"/>
    </row>
    <row r="68" spans="1:8" hidden="1" x14ac:dyDescent="0.3">
      <c r="A68" s="160">
        <v>60</v>
      </c>
      <c r="B68" s="160">
        <v>1</v>
      </c>
      <c r="C68" s="271"/>
      <c r="D68" s="271"/>
      <c r="E68" s="160"/>
      <c r="F68" s="160"/>
      <c r="G68" s="160"/>
      <c r="H68" s="160"/>
    </row>
    <row r="69" spans="1:8" hidden="1" x14ac:dyDescent="0.3">
      <c r="A69" s="160">
        <v>61</v>
      </c>
      <c r="B69" s="160">
        <v>5</v>
      </c>
      <c r="C69" s="271"/>
      <c r="D69" s="271"/>
      <c r="E69" s="160"/>
      <c r="F69" s="160"/>
      <c r="G69" s="160"/>
      <c r="H69" s="160"/>
    </row>
    <row r="70" spans="1:8" hidden="1" x14ac:dyDescent="0.3">
      <c r="A70" s="160">
        <v>62</v>
      </c>
      <c r="B70" s="160">
        <v>4</v>
      </c>
      <c r="C70" s="271"/>
      <c r="D70" s="271"/>
      <c r="E70" s="160"/>
      <c r="F70" s="160"/>
      <c r="G70" s="160"/>
      <c r="H70" s="160"/>
    </row>
    <row r="71" spans="1:8" hidden="1" x14ac:dyDescent="0.3">
      <c r="A71" s="160">
        <v>63</v>
      </c>
      <c r="B71" s="160">
        <v>2</v>
      </c>
      <c r="C71" s="271"/>
      <c r="D71" s="271"/>
      <c r="E71" s="160"/>
      <c r="F71" s="160"/>
      <c r="G71" s="160"/>
      <c r="H71" s="160"/>
    </row>
    <row r="72" spans="1:8" hidden="1" x14ac:dyDescent="0.3">
      <c r="A72" s="160">
        <v>64</v>
      </c>
      <c r="B72" s="160">
        <v>6</v>
      </c>
      <c r="C72" s="271"/>
      <c r="D72" s="271"/>
      <c r="E72" s="160"/>
      <c r="F72" s="160"/>
      <c r="G72" s="160"/>
      <c r="H72" s="160"/>
    </row>
    <row r="73" spans="1:8" hidden="1" x14ac:dyDescent="0.3">
      <c r="A73" s="160">
        <v>65</v>
      </c>
      <c r="B73" s="160">
        <v>1</v>
      </c>
      <c r="C73" s="271"/>
      <c r="D73" s="271"/>
      <c r="E73" s="160"/>
      <c r="F73" s="160"/>
      <c r="G73" s="160"/>
      <c r="H73" s="160"/>
    </row>
    <row r="74" spans="1:8" hidden="1" x14ac:dyDescent="0.3">
      <c r="A74" s="160">
        <v>66</v>
      </c>
      <c r="B74" s="160">
        <v>9</v>
      </c>
      <c r="C74" s="271"/>
      <c r="D74" s="271"/>
      <c r="E74" s="160"/>
      <c r="F74" s="160"/>
      <c r="G74" s="160"/>
      <c r="H74" s="160"/>
    </row>
    <row r="75" spans="1:8" hidden="1" x14ac:dyDescent="0.3">
      <c r="A75" s="160">
        <v>67</v>
      </c>
      <c r="B75" s="160">
        <v>4</v>
      </c>
      <c r="C75" s="271"/>
      <c r="D75" s="271"/>
      <c r="E75" s="160"/>
      <c r="F75" s="160"/>
      <c r="G75" s="160"/>
      <c r="H75" s="160"/>
    </row>
    <row r="76" spans="1:8" hidden="1" x14ac:dyDescent="0.3">
      <c r="A76" s="160">
        <v>68</v>
      </c>
      <c r="B76" s="160">
        <v>6</v>
      </c>
      <c r="C76" s="271"/>
      <c r="D76" s="271"/>
      <c r="E76" s="160"/>
      <c r="F76" s="160"/>
      <c r="G76" s="160"/>
      <c r="H76" s="160"/>
    </row>
    <row r="77" spans="1:8" hidden="1" x14ac:dyDescent="0.3">
      <c r="A77" s="160">
        <v>69</v>
      </c>
      <c r="B77" s="160">
        <v>7</v>
      </c>
      <c r="C77" s="271"/>
      <c r="D77" s="271"/>
      <c r="E77" s="160"/>
      <c r="F77" s="160"/>
      <c r="G77" s="160"/>
      <c r="H77" s="160"/>
    </row>
    <row r="78" spans="1:8" hidden="1" x14ac:dyDescent="0.3">
      <c r="A78" s="160">
        <v>70</v>
      </c>
      <c r="B78" s="160">
        <v>3</v>
      </c>
      <c r="C78" s="271"/>
      <c r="D78" s="271"/>
      <c r="E78" s="160"/>
      <c r="F78" s="160"/>
      <c r="G78" s="160"/>
      <c r="H78" s="160"/>
    </row>
    <row r="79" spans="1:8" hidden="1" x14ac:dyDescent="0.3">
      <c r="A79" s="160">
        <v>71</v>
      </c>
      <c r="B79" s="160">
        <v>2</v>
      </c>
      <c r="C79" s="271"/>
      <c r="D79" s="271"/>
      <c r="E79" s="160"/>
      <c r="F79" s="160"/>
      <c r="G79" s="160"/>
      <c r="H79" s="160"/>
    </row>
    <row r="80" spans="1:8" hidden="1" x14ac:dyDescent="0.3">
      <c r="A80" s="160">
        <v>72</v>
      </c>
      <c r="B80" s="160">
        <v>5</v>
      </c>
      <c r="C80" s="271"/>
      <c r="D80" s="271"/>
      <c r="E80" s="160"/>
      <c r="F80" s="160"/>
      <c r="G80" s="160"/>
      <c r="H80" s="160"/>
    </row>
    <row r="81" spans="1:8" hidden="1" x14ac:dyDescent="0.3">
      <c r="A81" s="160">
        <v>73</v>
      </c>
      <c r="B81" s="160">
        <v>3</v>
      </c>
      <c r="C81" s="271"/>
      <c r="D81" s="271"/>
      <c r="E81" s="160"/>
      <c r="F81" s="160"/>
      <c r="G81" s="160"/>
      <c r="H81" s="160"/>
    </row>
    <row r="82" spans="1:8" hidden="1" x14ac:dyDescent="0.3">
      <c r="A82" s="160">
        <v>74</v>
      </c>
      <c r="B82" s="160">
        <v>5</v>
      </c>
      <c r="C82" s="271"/>
      <c r="D82" s="271"/>
      <c r="E82" s="160"/>
      <c r="F82" s="160"/>
      <c r="G82" s="160"/>
      <c r="H82" s="160"/>
    </row>
    <row r="83" spans="1:8" hidden="1" x14ac:dyDescent="0.3">
      <c r="A83" s="160">
        <v>75</v>
      </c>
      <c r="B83" s="160">
        <v>16</v>
      </c>
      <c r="C83" s="271"/>
      <c r="D83" s="271"/>
      <c r="E83" s="160"/>
      <c r="F83" s="160"/>
      <c r="G83" s="160"/>
      <c r="H83" s="160"/>
    </row>
    <row r="84" spans="1:8" hidden="1" x14ac:dyDescent="0.3">
      <c r="A84" s="160">
        <v>76</v>
      </c>
      <c r="B84" s="160">
        <v>9</v>
      </c>
      <c r="C84" s="271"/>
      <c r="D84" s="271"/>
      <c r="E84" s="160"/>
      <c r="F84" s="160"/>
      <c r="G84" s="160"/>
      <c r="H84" s="160"/>
    </row>
    <row r="85" spans="1:8" hidden="1" x14ac:dyDescent="0.3">
      <c r="A85" s="160">
        <v>77</v>
      </c>
      <c r="B85" s="160">
        <v>9</v>
      </c>
      <c r="C85" s="271"/>
      <c r="D85" s="271"/>
      <c r="E85" s="160"/>
      <c r="F85" s="160"/>
      <c r="G85" s="160"/>
      <c r="H85" s="160"/>
    </row>
    <row r="86" spans="1:8" hidden="1" x14ac:dyDescent="0.3">
      <c r="A86" s="160">
        <v>78</v>
      </c>
      <c r="B86" s="160">
        <v>8</v>
      </c>
      <c r="C86" s="271"/>
      <c r="D86" s="271"/>
      <c r="E86" s="160"/>
      <c r="F86" s="160"/>
      <c r="G86" s="160"/>
      <c r="H86" s="160"/>
    </row>
    <row r="87" spans="1:8" hidden="1" x14ac:dyDescent="0.3">
      <c r="A87" s="160">
        <v>79</v>
      </c>
      <c r="B87" s="160">
        <v>8</v>
      </c>
      <c r="C87" s="271"/>
      <c r="D87" s="271"/>
      <c r="E87" s="160"/>
      <c r="F87" s="160"/>
      <c r="G87" s="160"/>
      <c r="H87" s="160"/>
    </row>
    <row r="88" spans="1:8" hidden="1" x14ac:dyDescent="0.3">
      <c r="A88" s="160">
        <v>80</v>
      </c>
      <c r="B88" s="160">
        <v>3</v>
      </c>
      <c r="C88" s="271"/>
      <c r="D88" s="271"/>
      <c r="E88" s="160"/>
      <c r="F88" s="160"/>
      <c r="G88" s="160"/>
      <c r="H88" s="160"/>
    </row>
    <row r="89" spans="1:8" hidden="1" x14ac:dyDescent="0.3">
      <c r="A89" s="160">
        <v>81</v>
      </c>
      <c r="B89" s="160">
        <v>3</v>
      </c>
      <c r="C89" s="271"/>
      <c r="D89" s="271"/>
      <c r="E89" s="160"/>
      <c r="F89" s="160"/>
      <c r="G89" s="160"/>
      <c r="H89" s="160"/>
    </row>
    <row r="90" spans="1:8" hidden="1" x14ac:dyDescent="0.3">
      <c r="A90" s="160">
        <v>82</v>
      </c>
      <c r="B90" s="160">
        <v>6</v>
      </c>
      <c r="C90" s="271"/>
      <c r="D90" s="271"/>
      <c r="E90" s="160"/>
      <c r="F90" s="160"/>
      <c r="G90" s="160"/>
      <c r="H90" s="160"/>
    </row>
    <row r="91" spans="1:8" hidden="1" x14ac:dyDescent="0.3">
      <c r="A91" s="160">
        <v>83</v>
      </c>
      <c r="B91" s="160">
        <v>6</v>
      </c>
      <c r="C91" s="271"/>
      <c r="D91" s="271"/>
      <c r="E91" s="160"/>
      <c r="F91" s="160"/>
      <c r="G91" s="160"/>
      <c r="H91" s="160"/>
    </row>
    <row r="92" spans="1:8" hidden="1" x14ac:dyDescent="0.3">
      <c r="A92" s="160">
        <v>84</v>
      </c>
      <c r="B92" s="160">
        <v>5</v>
      </c>
      <c r="C92" s="271"/>
      <c r="D92" s="271"/>
      <c r="E92" s="160"/>
      <c r="F92" s="160"/>
      <c r="G92" s="160"/>
      <c r="H92" s="160"/>
    </row>
    <row r="93" spans="1:8" hidden="1" x14ac:dyDescent="0.3">
      <c r="A93" s="160">
        <v>85</v>
      </c>
      <c r="B93" s="160">
        <v>5</v>
      </c>
      <c r="C93" s="271"/>
      <c r="D93" s="271"/>
      <c r="E93" s="160"/>
      <c r="F93" s="160"/>
      <c r="G93" s="160"/>
      <c r="H93" s="160"/>
    </row>
    <row r="94" spans="1:8" hidden="1" x14ac:dyDescent="0.3">
      <c r="A94" s="160">
        <v>86</v>
      </c>
      <c r="B94" s="160">
        <v>8</v>
      </c>
      <c r="C94" s="271"/>
      <c r="D94" s="271"/>
      <c r="E94" s="160"/>
      <c r="F94" s="160"/>
      <c r="G94" s="160"/>
      <c r="H94" s="160"/>
    </row>
    <row r="95" spans="1:8" hidden="1" x14ac:dyDescent="0.3">
      <c r="A95" s="160">
        <v>87</v>
      </c>
      <c r="B95" s="160">
        <v>2</v>
      </c>
      <c r="C95" s="271"/>
      <c r="D95" s="271"/>
      <c r="E95" s="160"/>
      <c r="F95" s="160"/>
      <c r="G95" s="160"/>
      <c r="H95" s="160"/>
    </row>
    <row r="96" spans="1:8" hidden="1" x14ac:dyDescent="0.3">
      <c r="A96" s="160">
        <v>88</v>
      </c>
      <c r="B96" s="160">
        <v>5</v>
      </c>
      <c r="C96" s="271"/>
      <c r="D96" s="271"/>
      <c r="E96" s="160"/>
      <c r="F96" s="160"/>
      <c r="G96" s="160"/>
      <c r="H96" s="160"/>
    </row>
    <row r="97" spans="1:8" hidden="1" x14ac:dyDescent="0.3">
      <c r="A97" s="160">
        <v>89</v>
      </c>
      <c r="B97" s="160">
        <v>6</v>
      </c>
      <c r="C97" s="271"/>
      <c r="D97" s="271"/>
      <c r="E97" s="160"/>
      <c r="F97" s="160"/>
      <c r="G97" s="160"/>
      <c r="H97" s="160"/>
    </row>
    <row r="98" spans="1:8" hidden="1" x14ac:dyDescent="0.3">
      <c r="A98" s="160">
        <v>90</v>
      </c>
      <c r="B98" s="160">
        <v>8</v>
      </c>
      <c r="C98" s="271"/>
      <c r="D98" s="271"/>
      <c r="E98" s="160"/>
      <c r="F98" s="160"/>
      <c r="G98" s="160"/>
      <c r="H98" s="160"/>
    </row>
    <row r="99" spans="1:8" hidden="1" x14ac:dyDescent="0.3">
      <c r="A99" s="160">
        <v>91</v>
      </c>
      <c r="B99" s="160">
        <v>5</v>
      </c>
      <c r="C99" s="271"/>
      <c r="D99" s="271"/>
      <c r="E99" s="160"/>
      <c r="F99" s="160"/>
      <c r="G99" s="160"/>
      <c r="H99" s="160"/>
    </row>
    <row r="100" spans="1:8" hidden="1" x14ac:dyDescent="0.3">
      <c r="A100" s="160">
        <v>92</v>
      </c>
      <c r="B100" s="160">
        <v>2</v>
      </c>
      <c r="C100" s="271"/>
      <c r="D100" s="271"/>
      <c r="E100" s="160"/>
      <c r="F100" s="160"/>
      <c r="G100" s="160"/>
      <c r="H100" s="160"/>
    </row>
    <row r="101" spans="1:8" hidden="1" x14ac:dyDescent="0.3">
      <c r="A101" s="160">
        <v>93</v>
      </c>
      <c r="B101" s="160">
        <v>7</v>
      </c>
      <c r="C101" s="271"/>
      <c r="D101" s="271"/>
      <c r="E101" s="160"/>
      <c r="F101" s="160"/>
      <c r="G101" s="160"/>
      <c r="H101" s="160"/>
    </row>
    <row r="102" spans="1:8" hidden="1" x14ac:dyDescent="0.3">
      <c r="A102" s="160">
        <v>94</v>
      </c>
      <c r="B102" s="160">
        <v>1</v>
      </c>
      <c r="C102" s="271"/>
      <c r="D102" s="271"/>
      <c r="E102" s="160"/>
      <c r="F102" s="160"/>
      <c r="G102" s="160"/>
      <c r="H102" s="160"/>
    </row>
    <row r="103" spans="1:8" hidden="1" x14ac:dyDescent="0.3">
      <c r="A103" s="160">
        <v>95</v>
      </c>
      <c r="B103" s="160">
        <v>2</v>
      </c>
      <c r="C103" s="271"/>
      <c r="D103" s="271"/>
      <c r="E103" s="160"/>
      <c r="F103" s="160"/>
      <c r="G103" s="160"/>
      <c r="H103" s="160"/>
    </row>
    <row r="104" spans="1:8" hidden="1" x14ac:dyDescent="0.3">
      <c r="A104" s="160">
        <v>96</v>
      </c>
      <c r="B104" s="160">
        <v>3</v>
      </c>
      <c r="C104" s="271"/>
      <c r="D104" s="271"/>
      <c r="E104" s="160"/>
      <c r="F104" s="160"/>
      <c r="G104" s="160"/>
      <c r="H104" s="160"/>
    </row>
    <row r="105" spans="1:8" hidden="1" x14ac:dyDescent="0.3">
      <c r="A105" s="160">
        <v>97</v>
      </c>
      <c r="B105" s="160">
        <v>4</v>
      </c>
      <c r="C105" s="271"/>
      <c r="D105" s="271"/>
      <c r="E105" s="160"/>
      <c r="F105" s="160"/>
      <c r="G105" s="160"/>
      <c r="H105" s="160"/>
    </row>
    <row r="106" spans="1:8" hidden="1" x14ac:dyDescent="0.3">
      <c r="A106" s="160">
        <v>98</v>
      </c>
      <c r="B106" s="160">
        <v>3</v>
      </c>
      <c r="C106" s="271"/>
      <c r="D106" s="271"/>
      <c r="E106" s="160"/>
      <c r="F106" s="160"/>
      <c r="G106" s="160"/>
      <c r="H106" s="160"/>
    </row>
    <row r="107" spans="1:8" hidden="1" x14ac:dyDescent="0.3">
      <c r="A107" s="160">
        <v>99</v>
      </c>
      <c r="B107" s="160">
        <v>1</v>
      </c>
      <c r="C107" s="271"/>
      <c r="D107" s="271"/>
      <c r="E107" s="160"/>
      <c r="F107" s="160"/>
      <c r="G107" s="160"/>
      <c r="H107" s="160"/>
    </row>
    <row r="108" spans="1:8" hidden="1" x14ac:dyDescent="0.3">
      <c r="A108" s="160">
        <v>100</v>
      </c>
      <c r="B108" s="160">
        <v>3</v>
      </c>
      <c r="C108" s="271"/>
      <c r="D108" s="271"/>
      <c r="E108" s="160"/>
      <c r="F108" s="160"/>
      <c r="G108" s="160"/>
      <c r="H108" s="160"/>
    </row>
    <row r="109" spans="1:8" hidden="1" x14ac:dyDescent="0.3">
      <c r="A109" s="160">
        <v>101</v>
      </c>
      <c r="B109" s="160">
        <v>6</v>
      </c>
      <c r="C109" s="271"/>
      <c r="D109" s="271"/>
      <c r="E109" s="160"/>
      <c r="F109" s="160"/>
      <c r="G109" s="160"/>
      <c r="H109" s="160"/>
    </row>
    <row r="110" spans="1:8" hidden="1" x14ac:dyDescent="0.3">
      <c r="A110" s="160">
        <v>102</v>
      </c>
      <c r="B110" s="160">
        <v>4</v>
      </c>
      <c r="C110" s="271"/>
      <c r="D110" s="271"/>
      <c r="E110" s="160"/>
      <c r="F110" s="160"/>
      <c r="G110" s="160"/>
      <c r="H110" s="160"/>
    </row>
    <row r="111" spans="1:8" hidden="1" x14ac:dyDescent="0.3">
      <c r="A111" s="160">
        <v>103</v>
      </c>
      <c r="B111" s="160">
        <v>3</v>
      </c>
      <c r="C111" s="271"/>
      <c r="D111" s="271"/>
      <c r="E111" s="160"/>
      <c r="F111" s="160"/>
      <c r="G111" s="160"/>
      <c r="H111" s="160"/>
    </row>
    <row r="112" spans="1:8" hidden="1" x14ac:dyDescent="0.3">
      <c r="A112" s="160">
        <v>104</v>
      </c>
      <c r="B112" s="160">
        <v>5</v>
      </c>
      <c r="C112" s="271"/>
      <c r="D112" s="271"/>
      <c r="E112" s="160"/>
      <c r="F112" s="160"/>
      <c r="G112" s="160"/>
      <c r="H112" s="160"/>
    </row>
    <row r="113" spans="1:8" hidden="1" x14ac:dyDescent="0.3">
      <c r="A113" s="160">
        <v>105</v>
      </c>
      <c r="B113" s="160">
        <v>5</v>
      </c>
      <c r="C113" s="271"/>
      <c r="D113" s="271"/>
      <c r="E113" s="160"/>
      <c r="F113" s="160"/>
      <c r="G113" s="160"/>
      <c r="H113" s="160"/>
    </row>
    <row r="114" spans="1:8" hidden="1" x14ac:dyDescent="0.3">
      <c r="A114" s="160">
        <v>106</v>
      </c>
      <c r="B114" s="160">
        <v>1</v>
      </c>
      <c r="C114" s="271"/>
      <c r="D114" s="271"/>
      <c r="E114" s="160"/>
      <c r="F114" s="160"/>
      <c r="G114" s="160"/>
      <c r="H114" s="160"/>
    </row>
    <row r="115" spans="1:8" hidden="1" x14ac:dyDescent="0.3">
      <c r="A115" s="160">
        <v>107</v>
      </c>
      <c r="B115" s="160">
        <v>4</v>
      </c>
      <c r="C115" s="271"/>
      <c r="D115" s="271"/>
      <c r="E115" s="160"/>
      <c r="F115" s="160"/>
      <c r="G115" s="160"/>
      <c r="H115" s="160"/>
    </row>
    <row r="116" spans="1:8" hidden="1" x14ac:dyDescent="0.3">
      <c r="A116" s="160">
        <v>108</v>
      </c>
      <c r="B116" s="160">
        <v>6</v>
      </c>
      <c r="C116" s="271"/>
      <c r="D116" s="271"/>
      <c r="E116" s="160"/>
      <c r="F116" s="160"/>
      <c r="G116" s="160"/>
      <c r="H116" s="160"/>
    </row>
    <row r="117" spans="1:8" hidden="1" x14ac:dyDescent="0.3">
      <c r="A117" s="160">
        <v>109</v>
      </c>
      <c r="B117" s="160">
        <v>2</v>
      </c>
      <c r="C117" s="271"/>
      <c r="D117" s="271"/>
      <c r="E117" s="160"/>
      <c r="F117" s="160"/>
      <c r="G117" s="160"/>
      <c r="H117" s="160"/>
    </row>
    <row r="118" spans="1:8" hidden="1" x14ac:dyDescent="0.3">
      <c r="A118" s="160">
        <v>110</v>
      </c>
      <c r="B118" s="160">
        <v>2</v>
      </c>
      <c r="C118" s="271"/>
      <c r="D118" s="271"/>
      <c r="E118" s="160"/>
      <c r="F118" s="160"/>
      <c r="G118" s="160"/>
      <c r="H118" s="160"/>
    </row>
    <row r="119" spans="1:8" hidden="1" x14ac:dyDescent="0.3">
      <c r="A119" s="160">
        <v>111</v>
      </c>
      <c r="B119" s="160">
        <v>2</v>
      </c>
      <c r="C119" s="271"/>
      <c r="D119" s="271"/>
      <c r="E119" s="160"/>
      <c r="F119" s="160"/>
      <c r="G119" s="160"/>
      <c r="H119" s="160"/>
    </row>
    <row r="120" spans="1:8" hidden="1" x14ac:dyDescent="0.3">
      <c r="A120" s="160">
        <v>112</v>
      </c>
      <c r="B120" s="160">
        <v>2</v>
      </c>
      <c r="C120" s="271"/>
      <c r="D120" s="271"/>
      <c r="E120" s="160"/>
      <c r="F120" s="160"/>
      <c r="G120" s="160"/>
      <c r="H120" s="160"/>
    </row>
    <row r="121" spans="1:8" hidden="1" x14ac:dyDescent="0.3">
      <c r="A121" s="160">
        <v>113</v>
      </c>
      <c r="B121" s="160">
        <v>5</v>
      </c>
      <c r="C121" s="271"/>
      <c r="D121" s="271"/>
      <c r="E121" s="160"/>
      <c r="F121" s="160"/>
      <c r="G121" s="160"/>
      <c r="H121" s="160"/>
    </row>
    <row r="122" spans="1:8" hidden="1" x14ac:dyDescent="0.3">
      <c r="A122" s="160">
        <v>114</v>
      </c>
      <c r="B122" s="160">
        <v>3</v>
      </c>
      <c r="C122" s="271"/>
      <c r="D122" s="271"/>
      <c r="E122" s="160"/>
      <c r="F122" s="160"/>
      <c r="G122" s="160"/>
      <c r="H122" s="160"/>
    </row>
    <row r="123" spans="1:8" hidden="1" x14ac:dyDescent="0.3">
      <c r="A123" s="160">
        <v>115</v>
      </c>
      <c r="B123" s="160">
        <v>4</v>
      </c>
      <c r="C123" s="271"/>
      <c r="D123" s="271"/>
      <c r="E123" s="160"/>
      <c r="F123" s="160"/>
      <c r="G123" s="160"/>
      <c r="H123" s="160"/>
    </row>
    <row r="124" spans="1:8" hidden="1" x14ac:dyDescent="0.3">
      <c r="A124" s="160">
        <v>116</v>
      </c>
      <c r="B124" s="160">
        <v>5</v>
      </c>
      <c r="C124" s="271"/>
      <c r="D124" s="271"/>
      <c r="E124" s="160"/>
      <c r="F124" s="160"/>
      <c r="G124" s="160"/>
      <c r="H124" s="160"/>
    </row>
    <row r="125" spans="1:8" hidden="1" x14ac:dyDescent="0.3">
      <c r="A125" s="160">
        <v>117</v>
      </c>
      <c r="B125" s="160">
        <v>5</v>
      </c>
      <c r="C125" s="271"/>
      <c r="D125" s="271"/>
      <c r="E125" s="160"/>
      <c r="F125" s="160"/>
      <c r="G125" s="160"/>
      <c r="H125" s="160"/>
    </row>
    <row r="126" spans="1:8" hidden="1" x14ac:dyDescent="0.3">
      <c r="A126" s="160">
        <v>118</v>
      </c>
      <c r="B126" s="160">
        <v>7</v>
      </c>
      <c r="C126" s="271"/>
      <c r="D126" s="271"/>
      <c r="E126" s="160"/>
      <c r="F126" s="160"/>
      <c r="G126" s="160"/>
      <c r="H126" s="160"/>
    </row>
    <row r="127" spans="1:8" hidden="1" x14ac:dyDescent="0.3">
      <c r="A127" s="160">
        <v>119</v>
      </c>
      <c r="B127" s="160">
        <v>3</v>
      </c>
      <c r="C127" s="271"/>
      <c r="D127" s="271"/>
      <c r="E127" s="160"/>
      <c r="F127" s="160"/>
      <c r="G127" s="160"/>
      <c r="H127" s="160"/>
    </row>
    <row r="128" spans="1:8" hidden="1" x14ac:dyDescent="0.3">
      <c r="A128" s="160">
        <v>120</v>
      </c>
      <c r="B128" s="160">
        <v>1</v>
      </c>
      <c r="C128" s="271"/>
      <c r="D128" s="271"/>
      <c r="E128" s="160"/>
      <c r="F128" s="160"/>
      <c r="G128" s="160"/>
      <c r="H128" s="160"/>
    </row>
    <row r="129" spans="1:8" hidden="1" x14ac:dyDescent="0.3">
      <c r="A129" s="160">
        <v>121</v>
      </c>
      <c r="B129" s="160">
        <v>1</v>
      </c>
      <c r="C129" s="271"/>
      <c r="D129" s="271"/>
      <c r="E129" s="160"/>
      <c r="F129" s="160"/>
      <c r="G129" s="160"/>
      <c r="H129" s="160"/>
    </row>
    <row r="130" spans="1:8" hidden="1" x14ac:dyDescent="0.3">
      <c r="A130" s="160">
        <v>122</v>
      </c>
      <c r="B130" s="160">
        <v>5</v>
      </c>
      <c r="C130" s="271"/>
      <c r="D130" s="271"/>
      <c r="E130" s="160"/>
      <c r="F130" s="160"/>
      <c r="G130" s="160"/>
      <c r="H130" s="160"/>
    </row>
    <row r="131" spans="1:8" hidden="1" x14ac:dyDescent="0.3">
      <c r="A131" s="160">
        <v>123</v>
      </c>
      <c r="B131" s="160">
        <v>6</v>
      </c>
      <c r="C131" s="271"/>
      <c r="D131" s="271"/>
      <c r="E131" s="160"/>
      <c r="F131" s="160"/>
      <c r="G131" s="160"/>
      <c r="H131" s="160"/>
    </row>
    <row r="132" spans="1:8" hidden="1" x14ac:dyDescent="0.3">
      <c r="A132" s="160">
        <v>124</v>
      </c>
      <c r="B132" s="160">
        <v>7</v>
      </c>
      <c r="C132" s="271"/>
      <c r="D132" s="271"/>
      <c r="E132" s="160"/>
      <c r="F132" s="160"/>
      <c r="G132" s="160"/>
      <c r="H132" s="160"/>
    </row>
    <row r="133" spans="1:8" hidden="1" x14ac:dyDescent="0.3">
      <c r="A133" s="160">
        <v>125</v>
      </c>
      <c r="B133" s="160">
        <v>30</v>
      </c>
      <c r="C133" s="271"/>
      <c r="D133" s="271"/>
      <c r="E133" s="160"/>
      <c r="F133" s="160"/>
      <c r="G133" s="160"/>
      <c r="H133" s="160"/>
    </row>
    <row r="134" spans="1:8" hidden="1" x14ac:dyDescent="0.3"/>
    <row r="135" spans="1:8" hidden="1" x14ac:dyDescent="0.3"/>
    <row r="136" spans="1:8" hidden="1" x14ac:dyDescent="0.3"/>
    <row r="137" spans="1:8" hidden="1" x14ac:dyDescent="0.3">
      <c r="A137" s="268" t="s">
        <v>220</v>
      </c>
      <c r="B137" s="269"/>
      <c r="C137" s="269"/>
      <c r="D137" s="269"/>
      <c r="E137" s="269"/>
      <c r="F137" s="269"/>
      <c r="G137" s="269"/>
      <c r="H137" s="270"/>
    </row>
    <row r="138" spans="1:8" hidden="1" x14ac:dyDescent="0.3">
      <c r="A138" s="268" t="s">
        <v>211</v>
      </c>
      <c r="B138" s="269"/>
      <c r="C138" s="269"/>
      <c r="D138" s="269"/>
      <c r="E138" s="269"/>
      <c r="F138" s="269"/>
      <c r="G138" s="269"/>
      <c r="H138" s="270"/>
    </row>
    <row r="139" spans="1:8" ht="26.4" hidden="1" x14ac:dyDescent="0.3">
      <c r="A139" s="160" t="s">
        <v>1</v>
      </c>
      <c r="B139" s="160" t="s">
        <v>210</v>
      </c>
      <c r="C139" s="271" t="s">
        <v>212</v>
      </c>
      <c r="D139" s="271"/>
      <c r="E139" s="160" t="s">
        <v>213</v>
      </c>
      <c r="F139" s="160" t="s">
        <v>214</v>
      </c>
      <c r="G139" s="160" t="s">
        <v>215</v>
      </c>
      <c r="H139" s="160" t="s">
        <v>216</v>
      </c>
    </row>
    <row r="140" spans="1:8" hidden="1" x14ac:dyDescent="0.3">
      <c r="A140" s="160">
        <v>1</v>
      </c>
      <c r="B140" s="160">
        <v>5</v>
      </c>
      <c r="C140" s="271"/>
      <c r="D140" s="271"/>
      <c r="E140" s="160"/>
      <c r="F140" s="160"/>
      <c r="G140" s="160"/>
      <c r="H140" s="160"/>
    </row>
    <row r="141" spans="1:8" hidden="1" x14ac:dyDescent="0.3">
      <c r="A141" s="160">
        <v>2</v>
      </c>
      <c r="B141" s="160">
        <v>4</v>
      </c>
      <c r="C141" s="271"/>
      <c r="D141" s="271"/>
      <c r="E141" s="160"/>
      <c r="F141" s="160"/>
      <c r="G141" s="160"/>
      <c r="H141" s="160"/>
    </row>
    <row r="142" spans="1:8" hidden="1" x14ac:dyDescent="0.3">
      <c r="A142" s="160">
        <v>3</v>
      </c>
      <c r="B142" s="160">
        <v>2</v>
      </c>
      <c r="C142" s="271"/>
      <c r="D142" s="271"/>
      <c r="E142" s="160"/>
      <c r="F142" s="160"/>
      <c r="G142" s="160"/>
      <c r="H142" s="160"/>
    </row>
    <row r="143" spans="1:8" hidden="1" x14ac:dyDescent="0.3">
      <c r="A143" s="160">
        <v>4</v>
      </c>
      <c r="B143" s="160">
        <v>1</v>
      </c>
      <c r="C143" s="271"/>
      <c r="D143" s="271"/>
      <c r="E143" s="160"/>
      <c r="F143" s="160"/>
      <c r="G143" s="160"/>
      <c r="H143" s="160"/>
    </row>
    <row r="144" spans="1:8" hidden="1" x14ac:dyDescent="0.3">
      <c r="A144" s="160">
        <v>5</v>
      </c>
      <c r="B144" s="160">
        <v>6</v>
      </c>
      <c r="C144" s="271"/>
      <c r="D144" s="271"/>
      <c r="E144" s="160"/>
      <c r="F144" s="160"/>
      <c r="G144" s="160"/>
      <c r="H144" s="160"/>
    </row>
    <row r="145" spans="1:8" hidden="1" x14ac:dyDescent="0.3">
      <c r="A145" s="160">
        <v>6</v>
      </c>
      <c r="B145" s="160">
        <v>8</v>
      </c>
      <c r="C145" s="271"/>
      <c r="D145" s="271"/>
      <c r="E145" s="160"/>
      <c r="F145" s="160"/>
      <c r="G145" s="160"/>
      <c r="H145" s="160"/>
    </row>
    <row r="146" spans="1:8" hidden="1" x14ac:dyDescent="0.3">
      <c r="A146" s="160">
        <v>7</v>
      </c>
      <c r="B146" s="160">
        <v>4</v>
      </c>
      <c r="C146" s="271"/>
      <c r="D146" s="271"/>
      <c r="E146" s="160"/>
      <c r="F146" s="160"/>
      <c r="G146" s="160"/>
      <c r="H146" s="160"/>
    </row>
    <row r="147" spans="1:8" hidden="1" x14ac:dyDescent="0.3">
      <c r="A147" s="160">
        <v>8</v>
      </c>
      <c r="B147" s="160">
        <v>2</v>
      </c>
      <c r="C147" s="271"/>
      <c r="D147" s="271"/>
      <c r="E147" s="160"/>
      <c r="F147" s="160"/>
      <c r="G147" s="160"/>
      <c r="H147" s="160"/>
    </row>
    <row r="148" spans="1:8" hidden="1" x14ac:dyDescent="0.3">
      <c r="A148" s="160">
        <v>9</v>
      </c>
      <c r="B148" s="160">
        <v>4</v>
      </c>
      <c r="C148" s="271"/>
      <c r="D148" s="271"/>
      <c r="E148" s="160"/>
      <c r="F148" s="160"/>
      <c r="G148" s="160"/>
      <c r="H148" s="160"/>
    </row>
    <row r="149" spans="1:8" hidden="1" x14ac:dyDescent="0.3">
      <c r="A149" s="160">
        <v>10</v>
      </c>
      <c r="B149" s="160">
        <v>1</v>
      </c>
      <c r="C149" s="271"/>
      <c r="D149" s="271"/>
      <c r="E149" s="160"/>
      <c r="F149" s="160"/>
      <c r="G149" s="160"/>
      <c r="H149" s="160"/>
    </row>
    <row r="150" spans="1:8" hidden="1" x14ac:dyDescent="0.3">
      <c r="A150" s="160">
        <v>11</v>
      </c>
      <c r="B150" s="160">
        <v>1</v>
      </c>
      <c r="C150" s="271"/>
      <c r="D150" s="271"/>
      <c r="E150" s="160"/>
      <c r="F150" s="160"/>
      <c r="G150" s="160"/>
      <c r="H150" s="160"/>
    </row>
    <row r="151" spans="1:8" hidden="1" x14ac:dyDescent="0.3">
      <c r="A151" s="160">
        <v>12</v>
      </c>
      <c r="B151" s="160">
        <v>5</v>
      </c>
      <c r="C151" s="271"/>
      <c r="D151" s="271"/>
      <c r="E151" s="160"/>
      <c r="F151" s="160"/>
      <c r="G151" s="160"/>
      <c r="H151" s="160"/>
    </row>
    <row r="152" spans="1:8" hidden="1" x14ac:dyDescent="0.3">
      <c r="A152" s="160">
        <v>13</v>
      </c>
      <c r="B152" s="160">
        <v>6</v>
      </c>
      <c r="C152" s="271"/>
      <c r="D152" s="271"/>
      <c r="E152" s="160"/>
      <c r="F152" s="160"/>
      <c r="G152" s="160"/>
      <c r="H152" s="160"/>
    </row>
    <row r="153" spans="1:8" hidden="1" x14ac:dyDescent="0.3">
      <c r="A153" s="160">
        <v>14</v>
      </c>
      <c r="B153" s="160">
        <v>4</v>
      </c>
      <c r="C153" s="271"/>
      <c r="D153" s="271"/>
      <c r="E153" s="160"/>
      <c r="F153" s="160"/>
      <c r="G153" s="160"/>
      <c r="H153" s="160"/>
    </row>
    <row r="154" spans="1:8" hidden="1" x14ac:dyDescent="0.3">
      <c r="A154" s="160">
        <v>15</v>
      </c>
      <c r="B154" s="160">
        <v>8</v>
      </c>
      <c r="C154" s="271"/>
      <c r="D154" s="271"/>
      <c r="E154" s="160"/>
      <c r="F154" s="160"/>
      <c r="G154" s="160"/>
      <c r="H154" s="160"/>
    </row>
    <row r="155" spans="1:8" hidden="1" x14ac:dyDescent="0.3">
      <c r="A155" s="160">
        <v>16</v>
      </c>
      <c r="B155" s="160">
        <v>2</v>
      </c>
      <c r="C155" s="271"/>
      <c r="D155" s="271"/>
      <c r="E155" s="160"/>
      <c r="F155" s="160"/>
      <c r="G155" s="160"/>
      <c r="H155" s="160"/>
    </row>
    <row r="156" spans="1:8" hidden="1" x14ac:dyDescent="0.3">
      <c r="A156" s="160">
        <v>17</v>
      </c>
      <c r="B156" s="160">
        <v>4</v>
      </c>
      <c r="C156" s="271"/>
      <c r="D156" s="271"/>
      <c r="E156" s="160"/>
      <c r="F156" s="160"/>
      <c r="G156" s="160"/>
      <c r="H156" s="160"/>
    </row>
    <row r="157" spans="1:8" hidden="1" x14ac:dyDescent="0.3">
      <c r="A157" s="160">
        <v>18</v>
      </c>
      <c r="B157" s="160">
        <v>2</v>
      </c>
      <c r="C157" s="271"/>
      <c r="D157" s="271"/>
      <c r="E157" s="160"/>
      <c r="F157" s="160"/>
      <c r="G157" s="160"/>
      <c r="H157" s="160"/>
    </row>
    <row r="158" spans="1:8" hidden="1" x14ac:dyDescent="0.3">
      <c r="A158" s="160">
        <v>19</v>
      </c>
      <c r="B158" s="160">
        <v>4</v>
      </c>
      <c r="C158" s="271"/>
      <c r="D158" s="271"/>
      <c r="E158" s="160"/>
      <c r="F158" s="160"/>
      <c r="G158" s="160"/>
      <c r="H158" s="160"/>
    </row>
    <row r="159" spans="1:8" hidden="1" x14ac:dyDescent="0.3">
      <c r="A159" s="160">
        <v>20</v>
      </c>
      <c r="B159" s="160">
        <v>1</v>
      </c>
      <c r="C159" s="271"/>
      <c r="D159" s="271"/>
      <c r="E159" s="160"/>
      <c r="F159" s="160"/>
      <c r="G159" s="160"/>
      <c r="H159" s="160"/>
    </row>
    <row r="160" spans="1:8" hidden="1" x14ac:dyDescent="0.3">
      <c r="A160" s="160">
        <v>21</v>
      </c>
      <c r="B160" s="160">
        <v>5</v>
      </c>
      <c r="C160" s="271"/>
      <c r="D160" s="271"/>
      <c r="E160" s="160"/>
      <c r="F160" s="160"/>
      <c r="G160" s="160"/>
      <c r="H160" s="160"/>
    </row>
    <row r="161" spans="1:8" hidden="1" x14ac:dyDescent="0.3">
      <c r="A161" s="160">
        <v>22</v>
      </c>
      <c r="B161" s="160">
        <v>4</v>
      </c>
      <c r="C161" s="271"/>
      <c r="D161" s="271"/>
      <c r="E161" s="160"/>
      <c r="F161" s="160"/>
      <c r="G161" s="160"/>
      <c r="H161" s="160"/>
    </row>
    <row r="162" spans="1:8" hidden="1" x14ac:dyDescent="0.3">
      <c r="A162" s="160">
        <v>23</v>
      </c>
      <c r="B162" s="160">
        <v>6</v>
      </c>
      <c r="C162" s="271"/>
      <c r="D162" s="271"/>
      <c r="E162" s="160"/>
      <c r="F162" s="160"/>
      <c r="G162" s="160"/>
      <c r="H162" s="160"/>
    </row>
    <row r="163" spans="1:8" hidden="1" x14ac:dyDescent="0.3">
      <c r="A163" s="160">
        <v>24</v>
      </c>
      <c r="B163" s="160">
        <v>8</v>
      </c>
      <c r="C163" s="271"/>
      <c r="D163" s="271"/>
      <c r="E163" s="160"/>
      <c r="F163" s="160"/>
      <c r="G163" s="160"/>
      <c r="H163" s="160"/>
    </row>
    <row r="164" spans="1:8" hidden="1" x14ac:dyDescent="0.3">
      <c r="A164" s="160">
        <v>25</v>
      </c>
      <c r="B164" s="160">
        <v>2</v>
      </c>
      <c r="C164" s="271"/>
      <c r="D164" s="271"/>
      <c r="E164" s="160"/>
      <c r="F164" s="160"/>
      <c r="G164" s="160"/>
      <c r="H164" s="160"/>
    </row>
    <row r="165" spans="1:8" hidden="1" x14ac:dyDescent="0.3">
      <c r="A165" s="160">
        <v>26</v>
      </c>
      <c r="B165" s="160">
        <v>4</v>
      </c>
      <c r="C165" s="271"/>
      <c r="D165" s="271"/>
      <c r="E165" s="160"/>
      <c r="F165" s="160"/>
      <c r="G165" s="160"/>
      <c r="H165" s="160"/>
    </row>
    <row r="166" spans="1:8" hidden="1" x14ac:dyDescent="0.3">
      <c r="A166" s="160">
        <v>27</v>
      </c>
      <c r="B166" s="160">
        <v>2</v>
      </c>
      <c r="C166" s="271"/>
      <c r="D166" s="271"/>
      <c r="E166" s="160"/>
      <c r="F166" s="160"/>
      <c r="G166" s="160"/>
      <c r="H166" s="160"/>
    </row>
    <row r="167" spans="1:8" hidden="1" x14ac:dyDescent="0.3">
      <c r="A167" s="160">
        <v>28</v>
      </c>
      <c r="B167" s="160">
        <v>4</v>
      </c>
      <c r="C167" s="271"/>
      <c r="D167" s="271"/>
      <c r="E167" s="160"/>
      <c r="F167" s="160"/>
      <c r="G167" s="160"/>
      <c r="H167" s="160"/>
    </row>
    <row r="168" spans="1:8" hidden="1" x14ac:dyDescent="0.3">
      <c r="A168" s="160">
        <v>29</v>
      </c>
      <c r="B168" s="160">
        <v>1</v>
      </c>
      <c r="C168" s="271"/>
      <c r="D168" s="271"/>
      <c r="E168" s="160"/>
      <c r="F168" s="160"/>
      <c r="G168" s="160"/>
      <c r="H168" s="160"/>
    </row>
    <row r="169" spans="1:8" hidden="1" x14ac:dyDescent="0.3">
      <c r="A169" s="160">
        <v>30</v>
      </c>
      <c r="B169" s="160">
        <v>5</v>
      </c>
      <c r="C169" s="271"/>
      <c r="D169" s="271"/>
      <c r="E169" s="160"/>
      <c r="F169" s="160"/>
      <c r="G169" s="160"/>
      <c r="H169" s="160"/>
    </row>
    <row r="170" spans="1:8" hidden="1" x14ac:dyDescent="0.3">
      <c r="A170" s="160">
        <v>31</v>
      </c>
      <c r="B170" s="160">
        <v>6</v>
      </c>
      <c r="C170" s="271"/>
      <c r="D170" s="271"/>
      <c r="E170" s="160"/>
      <c r="F170" s="160"/>
      <c r="G170" s="160"/>
      <c r="H170" s="160"/>
    </row>
    <row r="171" spans="1:8" hidden="1" x14ac:dyDescent="0.3">
      <c r="A171" s="160">
        <v>32</v>
      </c>
      <c r="B171" s="160">
        <v>4</v>
      </c>
      <c r="C171" s="271"/>
      <c r="D171" s="271"/>
      <c r="E171" s="160"/>
      <c r="F171" s="160"/>
      <c r="G171" s="160"/>
      <c r="H171" s="160"/>
    </row>
    <row r="172" spans="1:8" hidden="1" x14ac:dyDescent="0.3">
      <c r="A172" s="160">
        <v>33</v>
      </c>
      <c r="B172" s="160">
        <v>8</v>
      </c>
      <c r="C172" s="271"/>
      <c r="D172" s="271"/>
      <c r="E172" s="160"/>
      <c r="F172" s="160"/>
      <c r="G172" s="160"/>
      <c r="H172" s="160"/>
    </row>
    <row r="173" spans="1:8" hidden="1" x14ac:dyDescent="0.3">
      <c r="A173" s="160">
        <v>34</v>
      </c>
      <c r="B173" s="160">
        <v>2</v>
      </c>
      <c r="C173" s="271"/>
      <c r="D173" s="271"/>
      <c r="E173" s="160"/>
      <c r="F173" s="160"/>
      <c r="G173" s="160"/>
      <c r="H173" s="160"/>
    </row>
    <row r="174" spans="1:8" hidden="1" x14ac:dyDescent="0.3">
      <c r="A174" s="160">
        <v>35</v>
      </c>
      <c r="B174" s="160">
        <v>4</v>
      </c>
      <c r="C174" s="271"/>
      <c r="D174" s="271"/>
      <c r="E174" s="160"/>
      <c r="F174" s="160"/>
      <c r="G174" s="160"/>
      <c r="H174" s="160"/>
    </row>
    <row r="175" spans="1:8" hidden="1" x14ac:dyDescent="0.3">
      <c r="A175" s="160">
        <v>36</v>
      </c>
      <c r="B175" s="160">
        <v>2</v>
      </c>
      <c r="C175" s="271"/>
      <c r="D175" s="271"/>
      <c r="E175" s="160"/>
      <c r="F175" s="160"/>
      <c r="G175" s="160"/>
      <c r="H175" s="160"/>
    </row>
    <row r="176" spans="1:8" hidden="1" x14ac:dyDescent="0.3">
      <c r="A176" s="160">
        <v>37</v>
      </c>
      <c r="B176" s="160">
        <v>4</v>
      </c>
      <c r="C176" s="271"/>
      <c r="D176" s="271"/>
      <c r="E176" s="160"/>
      <c r="F176" s="160"/>
      <c r="G176" s="160"/>
      <c r="H176" s="160"/>
    </row>
    <row r="177" spans="1:8" hidden="1" x14ac:dyDescent="0.3">
      <c r="A177" s="160">
        <v>38</v>
      </c>
      <c r="B177" s="160">
        <v>2</v>
      </c>
      <c r="C177" s="271"/>
      <c r="D177" s="271"/>
      <c r="E177" s="160"/>
      <c r="F177" s="160"/>
      <c r="G177" s="160"/>
      <c r="H177" s="160"/>
    </row>
    <row r="178" spans="1:8" hidden="1" x14ac:dyDescent="0.3">
      <c r="A178" s="160">
        <v>39</v>
      </c>
      <c r="B178" s="160">
        <v>6</v>
      </c>
      <c r="C178" s="271"/>
      <c r="D178" s="271"/>
      <c r="E178" s="160"/>
      <c r="F178" s="160"/>
      <c r="G178" s="160"/>
      <c r="H178" s="160"/>
    </row>
    <row r="179" spans="1:8" hidden="1" x14ac:dyDescent="0.3">
      <c r="A179" s="160">
        <v>40</v>
      </c>
      <c r="B179" s="160">
        <v>5</v>
      </c>
      <c r="C179" s="271"/>
      <c r="D179" s="271"/>
      <c r="E179" s="160"/>
      <c r="F179" s="160"/>
      <c r="G179" s="160"/>
      <c r="H179" s="160"/>
    </row>
    <row r="180" spans="1:8" hidden="1" x14ac:dyDescent="0.3">
      <c r="A180" s="160">
        <v>41</v>
      </c>
      <c r="B180" s="160">
        <v>8</v>
      </c>
      <c r="C180" s="271"/>
      <c r="D180" s="271"/>
      <c r="E180" s="160"/>
      <c r="F180" s="160"/>
      <c r="G180" s="160"/>
      <c r="H180" s="160"/>
    </row>
    <row r="181" spans="1:8" hidden="1" x14ac:dyDescent="0.3">
      <c r="A181" s="160">
        <v>42</v>
      </c>
      <c r="B181" s="160">
        <v>4</v>
      </c>
      <c r="C181" s="271"/>
      <c r="D181" s="271"/>
      <c r="E181" s="160"/>
      <c r="F181" s="160"/>
      <c r="G181" s="160"/>
      <c r="H181" s="160"/>
    </row>
    <row r="182" spans="1:8" hidden="1" x14ac:dyDescent="0.3">
      <c r="A182" s="160">
        <v>43</v>
      </c>
      <c r="B182" s="160">
        <v>2</v>
      </c>
      <c r="C182" s="271"/>
      <c r="D182" s="271"/>
      <c r="E182" s="160"/>
      <c r="F182" s="160"/>
      <c r="G182" s="160"/>
      <c r="H182" s="160"/>
    </row>
    <row r="183" spans="1:8" hidden="1" x14ac:dyDescent="0.3">
      <c r="A183" s="160">
        <v>44</v>
      </c>
      <c r="B183" s="160">
        <v>4</v>
      </c>
      <c r="C183" s="271"/>
      <c r="D183" s="271"/>
      <c r="E183" s="160"/>
      <c r="F183" s="160"/>
      <c r="G183" s="160"/>
      <c r="H183" s="160"/>
    </row>
    <row r="184" spans="1:8" hidden="1" x14ac:dyDescent="0.3">
      <c r="A184" s="160">
        <v>45</v>
      </c>
      <c r="B184" s="160">
        <v>5</v>
      </c>
      <c r="C184" s="271"/>
      <c r="D184" s="271"/>
      <c r="E184" s="160"/>
      <c r="F184" s="160"/>
      <c r="G184" s="160"/>
      <c r="H184" s="160"/>
    </row>
    <row r="185" spans="1:8" hidden="1" x14ac:dyDescent="0.3">
      <c r="A185" s="160">
        <v>46</v>
      </c>
      <c r="B185" s="160">
        <v>6</v>
      </c>
      <c r="C185" s="271"/>
      <c r="D185" s="271"/>
      <c r="E185" s="160"/>
      <c r="F185" s="160"/>
      <c r="G185" s="160"/>
      <c r="H185" s="160"/>
    </row>
    <row r="186" spans="1:8" hidden="1" x14ac:dyDescent="0.3">
      <c r="A186" s="160">
        <v>47</v>
      </c>
      <c r="B186" s="160"/>
      <c r="C186" s="271"/>
      <c r="D186" s="271"/>
      <c r="E186" s="160"/>
      <c r="F186" s="160"/>
      <c r="G186" s="160"/>
      <c r="H186" s="160"/>
    </row>
    <row r="187" spans="1:8" hidden="1" x14ac:dyDescent="0.3">
      <c r="A187" s="160">
        <v>48</v>
      </c>
      <c r="B187" s="160">
        <v>4</v>
      </c>
      <c r="C187" s="271"/>
      <c r="D187" s="271"/>
      <c r="E187" s="160"/>
      <c r="F187" s="160"/>
      <c r="G187" s="160"/>
      <c r="H187" s="160"/>
    </row>
    <row r="188" spans="1:8" hidden="1" x14ac:dyDescent="0.3">
      <c r="A188" s="160">
        <v>49</v>
      </c>
      <c r="B188" s="160">
        <v>8</v>
      </c>
      <c r="C188" s="271"/>
      <c r="D188" s="271"/>
      <c r="E188" s="160"/>
      <c r="F188" s="160"/>
      <c r="G188" s="160"/>
      <c r="H188" s="160"/>
    </row>
    <row r="189" spans="1:8" hidden="1" x14ac:dyDescent="0.3">
      <c r="A189" s="160">
        <v>50</v>
      </c>
      <c r="B189" s="160">
        <v>4</v>
      </c>
      <c r="C189" s="271"/>
      <c r="D189" s="271"/>
      <c r="E189" s="160"/>
      <c r="F189" s="160"/>
      <c r="G189" s="160"/>
      <c r="H189" s="160"/>
    </row>
    <row r="190" spans="1:8" hidden="1" x14ac:dyDescent="0.3">
      <c r="A190" s="160">
        <v>51</v>
      </c>
      <c r="B190" s="160">
        <v>4</v>
      </c>
      <c r="C190" s="271"/>
      <c r="D190" s="271"/>
      <c r="E190" s="160"/>
      <c r="F190" s="160"/>
      <c r="G190" s="160"/>
      <c r="H190" s="160"/>
    </row>
    <row r="191" spans="1:8" hidden="1" x14ac:dyDescent="0.3">
      <c r="A191" s="160">
        <v>52</v>
      </c>
      <c r="B191" s="160">
        <v>2</v>
      </c>
      <c r="C191" s="271"/>
      <c r="D191" s="271"/>
      <c r="E191" s="160"/>
      <c r="F191" s="160"/>
      <c r="G191" s="160"/>
      <c r="H191" s="160"/>
    </row>
    <row r="192" spans="1:8" hidden="1" x14ac:dyDescent="0.3">
      <c r="A192" s="160">
        <v>53</v>
      </c>
      <c r="B192" s="160">
        <v>4</v>
      </c>
      <c r="C192" s="271"/>
      <c r="D192" s="271"/>
      <c r="E192" s="160"/>
      <c r="F192" s="160"/>
      <c r="G192" s="160"/>
      <c r="H192" s="160"/>
    </row>
    <row r="193" spans="1:8" hidden="1" x14ac:dyDescent="0.3">
      <c r="A193" s="160">
        <v>54</v>
      </c>
      <c r="B193" s="160">
        <v>5</v>
      </c>
      <c r="C193" s="271"/>
      <c r="D193" s="271"/>
      <c r="E193" s="160"/>
      <c r="F193" s="160"/>
      <c r="G193" s="160"/>
      <c r="H193" s="160"/>
    </row>
    <row r="194" spans="1:8" hidden="1" x14ac:dyDescent="0.3">
      <c r="A194" s="160">
        <v>55</v>
      </c>
      <c r="B194" s="160">
        <v>6</v>
      </c>
      <c r="C194" s="271"/>
      <c r="D194" s="271"/>
      <c r="E194" s="160"/>
      <c r="F194" s="160"/>
      <c r="G194" s="160"/>
      <c r="H194" s="160"/>
    </row>
    <row r="195" spans="1:8" hidden="1" x14ac:dyDescent="0.3">
      <c r="A195" s="160">
        <v>56</v>
      </c>
      <c r="B195" s="160">
        <v>4</v>
      </c>
      <c r="C195" s="271"/>
      <c r="D195" s="271"/>
      <c r="E195" s="160"/>
      <c r="F195" s="160"/>
      <c r="G195" s="160"/>
      <c r="H195" s="160"/>
    </row>
    <row r="196" spans="1:8" hidden="1" x14ac:dyDescent="0.3">
      <c r="A196" s="160">
        <v>57</v>
      </c>
      <c r="B196" s="160">
        <v>8</v>
      </c>
      <c r="C196" s="271"/>
      <c r="D196" s="271"/>
      <c r="E196" s="160"/>
      <c r="F196" s="160"/>
      <c r="G196" s="160"/>
      <c r="H196" s="160"/>
    </row>
    <row r="197" spans="1:8" hidden="1" x14ac:dyDescent="0.3">
      <c r="A197" s="160">
        <v>58</v>
      </c>
      <c r="B197" s="160"/>
      <c r="C197" s="271"/>
      <c r="D197" s="271"/>
      <c r="E197" s="160"/>
      <c r="F197" s="160"/>
      <c r="G197" s="160"/>
      <c r="H197" s="160"/>
    </row>
    <row r="198" spans="1:8" hidden="1" x14ac:dyDescent="0.3">
      <c r="A198" s="160">
        <v>59</v>
      </c>
      <c r="B198" s="160">
        <v>2</v>
      </c>
      <c r="C198" s="271"/>
      <c r="D198" s="271"/>
      <c r="E198" s="160"/>
      <c r="F198" s="160"/>
      <c r="G198" s="160"/>
      <c r="H198" s="160"/>
    </row>
    <row r="199" spans="1:8" hidden="1" x14ac:dyDescent="0.3">
      <c r="A199" s="160">
        <v>60</v>
      </c>
      <c r="B199" s="160">
        <v>4</v>
      </c>
      <c r="C199" s="271"/>
      <c r="D199" s="271"/>
      <c r="E199" s="160"/>
      <c r="F199" s="160"/>
      <c r="G199" s="160"/>
      <c r="H199" s="160"/>
    </row>
    <row r="200" spans="1:8" hidden="1" x14ac:dyDescent="0.3">
      <c r="A200" s="160">
        <v>61</v>
      </c>
      <c r="B200" s="160">
        <v>2</v>
      </c>
      <c r="C200" s="271"/>
      <c r="D200" s="271"/>
      <c r="E200" s="160"/>
      <c r="F200" s="160"/>
      <c r="G200" s="160"/>
      <c r="H200" s="160"/>
    </row>
    <row r="201" spans="1:8" hidden="1" x14ac:dyDescent="0.3">
      <c r="A201" s="160">
        <v>62</v>
      </c>
      <c r="B201" s="160">
        <v>4</v>
      </c>
      <c r="C201" s="271"/>
      <c r="D201" s="271"/>
      <c r="E201" s="160"/>
      <c r="F201" s="160"/>
      <c r="G201" s="160"/>
      <c r="H201" s="160"/>
    </row>
    <row r="202" spans="1:8" hidden="1" x14ac:dyDescent="0.3">
      <c r="A202" s="160">
        <v>63</v>
      </c>
      <c r="B202" s="160">
        <v>2</v>
      </c>
      <c r="C202" s="271"/>
      <c r="D202" s="271"/>
      <c r="E202" s="160"/>
      <c r="F202" s="160"/>
      <c r="G202" s="160"/>
      <c r="H202" s="160"/>
    </row>
    <row r="203" spans="1:8" hidden="1" x14ac:dyDescent="0.3">
      <c r="A203" s="160">
        <v>64</v>
      </c>
      <c r="B203" s="160">
        <v>6</v>
      </c>
      <c r="C203" s="271"/>
      <c r="D203" s="271"/>
      <c r="E203" s="160"/>
      <c r="F203" s="160"/>
      <c r="G203" s="160"/>
      <c r="H203" s="160"/>
    </row>
    <row r="204" spans="1:8" hidden="1" x14ac:dyDescent="0.3">
      <c r="A204" s="160">
        <v>65</v>
      </c>
      <c r="B204" s="160">
        <v>7</v>
      </c>
      <c r="C204" s="271"/>
      <c r="D204" s="271"/>
      <c r="E204" s="160"/>
      <c r="F204" s="160"/>
      <c r="G204" s="160"/>
      <c r="H204" s="160"/>
    </row>
    <row r="205" spans="1:8" hidden="1" x14ac:dyDescent="0.3">
      <c r="A205" s="160">
        <v>66</v>
      </c>
      <c r="B205" s="160">
        <v>9</v>
      </c>
      <c r="C205" s="271"/>
      <c r="D205" s="271"/>
      <c r="E205" s="160"/>
      <c r="F205" s="160"/>
      <c r="G205" s="160"/>
      <c r="H205" s="160"/>
    </row>
    <row r="206" spans="1:8" hidden="1" x14ac:dyDescent="0.3">
      <c r="A206" s="160">
        <v>67</v>
      </c>
      <c r="B206" s="160">
        <v>4</v>
      </c>
      <c r="C206" s="271"/>
      <c r="D206" s="271"/>
      <c r="E206" s="160"/>
      <c r="F206" s="160"/>
      <c r="G206" s="160"/>
      <c r="H206" s="160"/>
    </row>
    <row r="207" spans="1:8" hidden="1" x14ac:dyDescent="0.3">
      <c r="A207" s="160">
        <v>68</v>
      </c>
      <c r="B207" s="160">
        <v>4</v>
      </c>
      <c r="C207" s="271"/>
      <c r="D207" s="271"/>
      <c r="E207" s="160"/>
      <c r="F207" s="160"/>
      <c r="G207" s="160"/>
      <c r="H207" s="160"/>
    </row>
    <row r="208" spans="1:8" hidden="1" x14ac:dyDescent="0.3">
      <c r="A208" s="160">
        <v>69</v>
      </c>
      <c r="B208" s="160">
        <v>7</v>
      </c>
      <c r="C208" s="271"/>
      <c r="D208" s="271"/>
      <c r="E208" s="160"/>
      <c r="F208" s="160"/>
      <c r="G208" s="160"/>
      <c r="H208" s="160"/>
    </row>
    <row r="209" spans="1:8" hidden="1" x14ac:dyDescent="0.3">
      <c r="A209" s="160">
        <v>70</v>
      </c>
      <c r="B209" s="160">
        <v>5</v>
      </c>
      <c r="C209" s="271"/>
      <c r="D209" s="271"/>
      <c r="E209" s="160"/>
      <c r="F209" s="160"/>
      <c r="G209" s="160"/>
      <c r="H209" s="160"/>
    </row>
    <row r="210" spans="1:8" hidden="1" x14ac:dyDescent="0.3">
      <c r="A210" s="160">
        <v>71</v>
      </c>
      <c r="B210" s="160"/>
      <c r="C210" s="271"/>
      <c r="D210" s="271"/>
      <c r="E210" s="160"/>
      <c r="F210" s="160"/>
      <c r="G210" s="160"/>
      <c r="H210" s="160"/>
    </row>
    <row r="211" spans="1:8" hidden="1" x14ac:dyDescent="0.3">
      <c r="A211" s="160">
        <v>72</v>
      </c>
      <c r="B211" s="160"/>
      <c r="C211" s="271"/>
      <c r="D211" s="271"/>
      <c r="E211" s="160"/>
      <c r="F211" s="160"/>
      <c r="G211" s="160"/>
      <c r="H211" s="160"/>
    </row>
    <row r="212" spans="1:8" hidden="1" x14ac:dyDescent="0.3">
      <c r="A212" s="160">
        <v>73</v>
      </c>
      <c r="B212" s="160">
        <v>3</v>
      </c>
      <c r="C212" s="271"/>
      <c r="D212" s="271"/>
      <c r="E212" s="160"/>
      <c r="F212" s="160"/>
      <c r="G212" s="160"/>
      <c r="H212" s="160"/>
    </row>
    <row r="213" spans="1:8" hidden="1" x14ac:dyDescent="0.3">
      <c r="A213" s="160">
        <v>74</v>
      </c>
      <c r="B213" s="160">
        <v>5</v>
      </c>
      <c r="C213" s="271"/>
      <c r="D213" s="271"/>
      <c r="E213" s="160"/>
      <c r="F213" s="160"/>
      <c r="G213" s="160"/>
      <c r="H213" s="160"/>
    </row>
    <row r="214" spans="1:8" hidden="1" x14ac:dyDescent="0.3">
      <c r="A214" s="160">
        <v>75</v>
      </c>
      <c r="B214" s="160">
        <v>10</v>
      </c>
      <c r="C214" s="271"/>
      <c r="D214" s="271"/>
      <c r="E214" s="160"/>
      <c r="F214" s="160"/>
      <c r="G214" s="160"/>
      <c r="H214" s="160"/>
    </row>
    <row r="215" spans="1:8" hidden="1" x14ac:dyDescent="0.3">
      <c r="A215" s="160">
        <v>76</v>
      </c>
      <c r="B215" s="160">
        <v>5</v>
      </c>
      <c r="C215" s="271"/>
      <c r="D215" s="271"/>
      <c r="E215" s="160"/>
      <c r="F215" s="160"/>
      <c r="G215" s="160"/>
      <c r="H215" s="160"/>
    </row>
    <row r="216" spans="1:8" hidden="1" x14ac:dyDescent="0.3">
      <c r="A216" s="160">
        <v>77</v>
      </c>
      <c r="B216" s="160">
        <v>9</v>
      </c>
      <c r="C216" s="271"/>
      <c r="D216" s="271"/>
      <c r="E216" s="160"/>
      <c r="F216" s="160"/>
      <c r="G216" s="160"/>
      <c r="H216" s="160"/>
    </row>
    <row r="217" spans="1:8" hidden="1" x14ac:dyDescent="0.3">
      <c r="A217" s="160">
        <v>78</v>
      </c>
      <c r="B217" s="160">
        <v>8</v>
      </c>
      <c r="C217" s="271"/>
      <c r="D217" s="271"/>
      <c r="E217" s="160"/>
      <c r="F217" s="160"/>
      <c r="G217" s="160"/>
      <c r="H217" s="160"/>
    </row>
    <row r="218" spans="1:8" hidden="1" x14ac:dyDescent="0.3">
      <c r="A218" s="160">
        <v>79</v>
      </c>
      <c r="B218" s="160">
        <v>8</v>
      </c>
      <c r="C218" s="271"/>
      <c r="D218" s="271"/>
      <c r="E218" s="160"/>
      <c r="F218" s="160"/>
      <c r="G218" s="160"/>
      <c r="H218" s="160"/>
    </row>
    <row r="219" spans="1:8" hidden="1" x14ac:dyDescent="0.3">
      <c r="A219" s="160">
        <v>80</v>
      </c>
      <c r="B219" s="160">
        <v>3</v>
      </c>
      <c r="C219" s="271"/>
      <c r="D219" s="271"/>
      <c r="E219" s="160"/>
      <c r="F219" s="160"/>
      <c r="G219" s="160"/>
      <c r="H219" s="160"/>
    </row>
    <row r="220" spans="1:8" hidden="1" x14ac:dyDescent="0.3">
      <c r="A220" s="160">
        <v>81</v>
      </c>
      <c r="B220" s="160">
        <v>3</v>
      </c>
      <c r="C220" s="271"/>
      <c r="D220" s="271"/>
      <c r="E220" s="160"/>
      <c r="F220" s="160"/>
      <c r="G220" s="160"/>
      <c r="H220" s="160"/>
    </row>
    <row r="221" spans="1:8" hidden="1" x14ac:dyDescent="0.3">
      <c r="A221" s="160">
        <v>82</v>
      </c>
      <c r="B221" s="160">
        <v>6</v>
      </c>
      <c r="C221" s="271"/>
      <c r="D221" s="271"/>
      <c r="E221" s="160"/>
      <c r="F221" s="160"/>
      <c r="G221" s="160"/>
      <c r="H221" s="160"/>
    </row>
    <row r="222" spans="1:8" hidden="1" x14ac:dyDescent="0.3">
      <c r="A222" s="160">
        <v>83</v>
      </c>
      <c r="B222" s="160">
        <v>6</v>
      </c>
      <c r="C222" s="271"/>
      <c r="D222" s="271"/>
      <c r="E222" s="160"/>
      <c r="F222" s="160"/>
      <c r="G222" s="160"/>
      <c r="H222" s="160"/>
    </row>
    <row r="223" spans="1:8" hidden="1" x14ac:dyDescent="0.3">
      <c r="A223" s="160">
        <v>84</v>
      </c>
      <c r="B223" s="160">
        <v>4</v>
      </c>
      <c r="C223" s="271"/>
      <c r="D223" s="271"/>
      <c r="E223" s="160"/>
      <c r="F223" s="160"/>
      <c r="G223" s="160"/>
      <c r="H223" s="160"/>
    </row>
    <row r="224" spans="1:8" hidden="1" x14ac:dyDescent="0.3">
      <c r="A224" s="160">
        <v>85</v>
      </c>
      <c r="B224" s="160">
        <v>8</v>
      </c>
      <c r="C224" s="271"/>
      <c r="D224" s="271"/>
      <c r="E224" s="160"/>
      <c r="F224" s="160"/>
      <c r="G224" s="160"/>
      <c r="H224" s="160"/>
    </row>
    <row r="225" spans="1:8" hidden="1" x14ac:dyDescent="0.3">
      <c r="A225" s="160">
        <v>86</v>
      </c>
      <c r="B225" s="160">
        <v>2</v>
      </c>
      <c r="C225" s="271"/>
      <c r="D225" s="271"/>
      <c r="E225" s="160"/>
      <c r="F225" s="160"/>
      <c r="G225" s="160"/>
      <c r="H225" s="160"/>
    </row>
    <row r="226" spans="1:8" hidden="1" x14ac:dyDescent="0.3">
      <c r="A226" s="160">
        <v>87</v>
      </c>
      <c r="B226" s="160">
        <v>4</v>
      </c>
      <c r="C226" s="271"/>
      <c r="D226" s="271"/>
      <c r="E226" s="160"/>
      <c r="F226" s="160"/>
      <c r="G226" s="160"/>
      <c r="H226" s="160"/>
    </row>
    <row r="227" spans="1:8" hidden="1" x14ac:dyDescent="0.3">
      <c r="A227" s="160">
        <v>88</v>
      </c>
      <c r="B227" s="160">
        <v>5</v>
      </c>
      <c r="C227" s="271"/>
      <c r="D227" s="271"/>
      <c r="E227" s="160"/>
      <c r="F227" s="160"/>
      <c r="G227" s="160"/>
      <c r="H227" s="160"/>
    </row>
    <row r="228" spans="1:8" hidden="1" x14ac:dyDescent="0.3">
      <c r="A228" s="160">
        <v>89</v>
      </c>
      <c r="B228" s="160">
        <v>6</v>
      </c>
      <c r="C228" s="271"/>
      <c r="D228" s="271"/>
      <c r="E228" s="160"/>
      <c r="F228" s="160"/>
      <c r="G228" s="160"/>
      <c r="H228" s="160"/>
    </row>
    <row r="229" spans="1:8" hidden="1" x14ac:dyDescent="0.3">
      <c r="A229" s="160">
        <v>90</v>
      </c>
      <c r="B229" s="160">
        <v>4</v>
      </c>
      <c r="C229" s="271"/>
      <c r="D229" s="271"/>
      <c r="E229" s="160"/>
      <c r="F229" s="160"/>
      <c r="G229" s="160"/>
      <c r="H229" s="160"/>
    </row>
    <row r="230" spans="1:8" hidden="1" x14ac:dyDescent="0.3">
      <c r="A230" s="160">
        <v>91</v>
      </c>
      <c r="B230" s="160">
        <v>8</v>
      </c>
      <c r="C230" s="271"/>
      <c r="D230" s="271"/>
      <c r="E230" s="160"/>
      <c r="F230" s="160"/>
      <c r="G230" s="160"/>
      <c r="H230" s="160"/>
    </row>
    <row r="231" spans="1:8" hidden="1" x14ac:dyDescent="0.3">
      <c r="A231" s="160">
        <v>92</v>
      </c>
      <c r="B231" s="160">
        <v>2</v>
      </c>
      <c r="C231" s="271"/>
      <c r="D231" s="271"/>
      <c r="E231" s="160"/>
      <c r="F231" s="160"/>
      <c r="G231" s="160"/>
      <c r="H231" s="160"/>
    </row>
    <row r="232" spans="1:8" hidden="1" x14ac:dyDescent="0.3">
      <c r="A232" s="160">
        <v>93</v>
      </c>
      <c r="B232" s="160">
        <v>7</v>
      </c>
      <c r="C232" s="271"/>
      <c r="D232" s="271"/>
      <c r="E232" s="160"/>
      <c r="F232" s="160"/>
      <c r="G232" s="160"/>
      <c r="H232" s="160"/>
    </row>
    <row r="233" spans="1:8" hidden="1" x14ac:dyDescent="0.3">
      <c r="A233" s="160">
        <v>94</v>
      </c>
      <c r="B233" s="160"/>
      <c r="C233" s="271"/>
      <c r="D233" s="271"/>
      <c r="E233" s="160"/>
      <c r="F233" s="160"/>
      <c r="G233" s="160"/>
      <c r="H233" s="160"/>
    </row>
    <row r="234" spans="1:8" hidden="1" x14ac:dyDescent="0.3">
      <c r="A234" s="160">
        <v>95</v>
      </c>
      <c r="B234" s="160">
        <v>2</v>
      </c>
      <c r="C234" s="271"/>
      <c r="D234" s="271"/>
      <c r="E234" s="160"/>
      <c r="F234" s="160"/>
      <c r="G234" s="160"/>
      <c r="H234" s="160"/>
    </row>
    <row r="235" spans="1:8" hidden="1" x14ac:dyDescent="0.3">
      <c r="A235" s="160">
        <v>96</v>
      </c>
      <c r="B235" s="160">
        <v>5</v>
      </c>
      <c r="C235" s="271"/>
      <c r="D235" s="271"/>
      <c r="E235" s="160"/>
      <c r="F235" s="160"/>
      <c r="G235" s="160"/>
      <c r="H235" s="160"/>
    </row>
    <row r="236" spans="1:8" hidden="1" x14ac:dyDescent="0.3">
      <c r="A236" s="160">
        <v>97</v>
      </c>
      <c r="B236" s="160">
        <v>4</v>
      </c>
      <c r="C236" s="271"/>
      <c r="D236" s="271"/>
      <c r="E236" s="160"/>
      <c r="F236" s="160"/>
      <c r="G236" s="160"/>
      <c r="H236" s="160"/>
    </row>
    <row r="237" spans="1:8" hidden="1" x14ac:dyDescent="0.3">
      <c r="A237" s="160">
        <v>98</v>
      </c>
      <c r="B237" s="160">
        <v>2</v>
      </c>
      <c r="C237" s="271"/>
      <c r="D237" s="271"/>
      <c r="E237" s="160"/>
      <c r="F237" s="160"/>
      <c r="G237" s="160"/>
      <c r="H237" s="160"/>
    </row>
    <row r="238" spans="1:8" hidden="1" x14ac:dyDescent="0.3">
      <c r="A238" s="160">
        <v>99</v>
      </c>
      <c r="B238" s="160">
        <v>1</v>
      </c>
      <c r="C238" s="271"/>
      <c r="D238" s="271"/>
      <c r="E238" s="160"/>
      <c r="F238" s="160"/>
      <c r="G238" s="160"/>
      <c r="H238" s="160"/>
    </row>
    <row r="239" spans="1:8" hidden="1" x14ac:dyDescent="0.3">
      <c r="A239" s="160">
        <v>100</v>
      </c>
      <c r="B239" s="160">
        <v>3</v>
      </c>
      <c r="C239" s="271"/>
      <c r="D239" s="271"/>
      <c r="E239" s="160"/>
      <c r="F239" s="160"/>
      <c r="G239" s="160"/>
      <c r="H239" s="160"/>
    </row>
    <row r="240" spans="1:8" hidden="1" x14ac:dyDescent="0.3">
      <c r="A240" s="160">
        <v>101</v>
      </c>
      <c r="B240" s="160">
        <v>1</v>
      </c>
      <c r="C240" s="271"/>
      <c r="D240" s="271"/>
      <c r="E240" s="160"/>
      <c r="F240" s="160"/>
      <c r="G240" s="160"/>
      <c r="H240" s="160"/>
    </row>
    <row r="241" spans="1:8" hidden="1" x14ac:dyDescent="0.3">
      <c r="A241" s="160">
        <v>102</v>
      </c>
      <c r="B241" s="160">
        <v>4</v>
      </c>
      <c r="C241" s="271"/>
      <c r="D241" s="271"/>
      <c r="E241" s="160"/>
      <c r="F241" s="160"/>
      <c r="G241" s="160"/>
      <c r="H241" s="160"/>
    </row>
    <row r="242" spans="1:8" hidden="1" x14ac:dyDescent="0.3">
      <c r="A242" s="160">
        <v>103</v>
      </c>
      <c r="B242" s="160">
        <v>2</v>
      </c>
      <c r="C242" s="271"/>
      <c r="D242" s="271"/>
      <c r="E242" s="160"/>
      <c r="F242" s="160"/>
      <c r="G242" s="160"/>
      <c r="H242" s="160"/>
    </row>
    <row r="243" spans="1:8" hidden="1" x14ac:dyDescent="0.3">
      <c r="A243" s="160">
        <v>104</v>
      </c>
      <c r="B243" s="160">
        <v>5</v>
      </c>
      <c r="C243" s="271"/>
      <c r="D243" s="271"/>
      <c r="E243" s="160"/>
      <c r="F243" s="160"/>
      <c r="G243" s="160"/>
      <c r="H243" s="160"/>
    </row>
    <row r="244" spans="1:8" hidden="1" x14ac:dyDescent="0.3">
      <c r="A244" s="160">
        <v>105</v>
      </c>
      <c r="B244" s="160">
        <v>5</v>
      </c>
      <c r="C244" s="271"/>
      <c r="D244" s="271"/>
      <c r="E244" s="160"/>
      <c r="F244" s="160"/>
      <c r="G244" s="160"/>
      <c r="H244" s="160"/>
    </row>
    <row r="245" spans="1:8" hidden="1" x14ac:dyDescent="0.3">
      <c r="A245" s="160">
        <v>106</v>
      </c>
      <c r="B245" s="160">
        <v>1</v>
      </c>
      <c r="C245" s="271"/>
      <c r="D245" s="271"/>
      <c r="E245" s="160"/>
      <c r="F245" s="160"/>
      <c r="G245" s="160"/>
      <c r="H245" s="160"/>
    </row>
    <row r="246" spans="1:8" hidden="1" x14ac:dyDescent="0.3">
      <c r="A246" s="160">
        <v>107</v>
      </c>
      <c r="B246" s="160">
        <v>4</v>
      </c>
      <c r="C246" s="271"/>
      <c r="D246" s="271"/>
      <c r="E246" s="160"/>
      <c r="F246" s="160"/>
      <c r="G246" s="160"/>
      <c r="H246" s="160"/>
    </row>
    <row r="247" spans="1:8" hidden="1" x14ac:dyDescent="0.3">
      <c r="A247" s="160">
        <v>108</v>
      </c>
      <c r="B247" s="160">
        <v>6</v>
      </c>
      <c r="C247" s="271"/>
      <c r="D247" s="271"/>
      <c r="E247" s="160"/>
      <c r="F247" s="160"/>
      <c r="G247" s="160"/>
      <c r="H247" s="160"/>
    </row>
    <row r="248" spans="1:8" hidden="1" x14ac:dyDescent="0.3">
      <c r="A248" s="160">
        <v>109</v>
      </c>
      <c r="B248" s="160">
        <v>2</v>
      </c>
      <c r="C248" s="271"/>
      <c r="D248" s="271"/>
      <c r="E248" s="160"/>
      <c r="F248" s="160"/>
      <c r="G248" s="160"/>
      <c r="H248" s="160"/>
    </row>
    <row r="249" spans="1:8" hidden="1" x14ac:dyDescent="0.3">
      <c r="A249" s="160">
        <v>110</v>
      </c>
      <c r="B249" s="160">
        <v>2</v>
      </c>
      <c r="C249" s="271"/>
      <c r="D249" s="271"/>
      <c r="E249" s="160"/>
      <c r="F249" s="160"/>
      <c r="G249" s="160"/>
      <c r="H249" s="160"/>
    </row>
    <row r="250" spans="1:8" hidden="1" x14ac:dyDescent="0.3">
      <c r="A250" s="160">
        <v>111</v>
      </c>
      <c r="B250" s="160">
        <v>3</v>
      </c>
      <c r="C250" s="271"/>
      <c r="D250" s="271"/>
      <c r="E250" s="160"/>
      <c r="F250" s="160"/>
      <c r="G250" s="160"/>
      <c r="H250" s="160"/>
    </row>
    <row r="251" spans="1:8" hidden="1" x14ac:dyDescent="0.3">
      <c r="A251" s="160">
        <v>112</v>
      </c>
      <c r="B251" s="160">
        <v>2</v>
      </c>
      <c r="C251" s="271"/>
      <c r="D251" s="271"/>
      <c r="E251" s="160"/>
      <c r="F251" s="160"/>
      <c r="G251" s="160"/>
      <c r="H251" s="160"/>
    </row>
    <row r="252" spans="1:8" hidden="1" x14ac:dyDescent="0.3">
      <c r="A252" s="160">
        <v>113</v>
      </c>
      <c r="B252" s="160">
        <v>5</v>
      </c>
      <c r="C252" s="271"/>
      <c r="D252" s="271"/>
      <c r="E252" s="160"/>
      <c r="F252" s="160"/>
      <c r="G252" s="160"/>
      <c r="H252" s="160"/>
    </row>
    <row r="253" spans="1:8" hidden="1" x14ac:dyDescent="0.3">
      <c r="A253" s="160">
        <v>114</v>
      </c>
      <c r="B253" s="160">
        <v>3</v>
      </c>
      <c r="C253" s="271"/>
      <c r="D253" s="271"/>
      <c r="E253" s="160"/>
      <c r="F253" s="160"/>
      <c r="G253" s="160"/>
      <c r="H253" s="160"/>
    </row>
    <row r="254" spans="1:8" hidden="1" x14ac:dyDescent="0.3">
      <c r="A254" s="160">
        <v>115</v>
      </c>
      <c r="B254" s="160">
        <v>4</v>
      </c>
      <c r="C254" s="271"/>
      <c r="D254" s="271"/>
      <c r="E254" s="160"/>
      <c r="F254" s="160"/>
      <c r="G254" s="160"/>
      <c r="H254" s="160"/>
    </row>
    <row r="255" spans="1:8" hidden="1" x14ac:dyDescent="0.3">
      <c r="A255" s="160">
        <v>116</v>
      </c>
      <c r="B255" s="160">
        <v>5</v>
      </c>
      <c r="C255" s="271"/>
      <c r="D255" s="271"/>
      <c r="E255" s="160"/>
      <c r="F255" s="160"/>
      <c r="G255" s="160"/>
      <c r="H255" s="160"/>
    </row>
    <row r="256" spans="1:8" hidden="1" x14ac:dyDescent="0.3">
      <c r="A256" s="160">
        <v>117</v>
      </c>
      <c r="B256" s="160">
        <v>5</v>
      </c>
      <c r="C256" s="271"/>
      <c r="D256" s="271"/>
      <c r="E256" s="160"/>
      <c r="F256" s="160"/>
      <c r="G256" s="160"/>
      <c r="H256" s="160"/>
    </row>
    <row r="257" spans="1:8" hidden="1" x14ac:dyDescent="0.3">
      <c r="A257" s="160">
        <v>118</v>
      </c>
      <c r="B257" s="160">
        <v>7</v>
      </c>
      <c r="C257" s="271"/>
      <c r="D257" s="271"/>
      <c r="E257" s="160"/>
      <c r="F257" s="160"/>
      <c r="G257" s="160"/>
      <c r="H257" s="160"/>
    </row>
    <row r="258" spans="1:8" hidden="1" x14ac:dyDescent="0.3">
      <c r="A258" s="160">
        <v>119</v>
      </c>
      <c r="B258" s="160">
        <v>3</v>
      </c>
      <c r="C258" s="271"/>
      <c r="D258" s="271"/>
      <c r="E258" s="160"/>
      <c r="F258" s="160"/>
      <c r="G258" s="160"/>
      <c r="H258" s="160"/>
    </row>
    <row r="259" spans="1:8" hidden="1" x14ac:dyDescent="0.3">
      <c r="A259" s="160">
        <v>120</v>
      </c>
      <c r="B259" s="160">
        <v>1</v>
      </c>
      <c r="C259" s="271"/>
      <c r="D259" s="271"/>
      <c r="E259" s="160"/>
      <c r="F259" s="160"/>
      <c r="G259" s="160"/>
      <c r="H259" s="160"/>
    </row>
    <row r="260" spans="1:8" hidden="1" x14ac:dyDescent="0.3">
      <c r="A260" s="160">
        <v>121</v>
      </c>
      <c r="B260" s="160">
        <v>1</v>
      </c>
      <c r="C260" s="271"/>
      <c r="D260" s="271"/>
      <c r="E260" s="160"/>
      <c r="F260" s="160"/>
      <c r="G260" s="160"/>
      <c r="H260" s="160"/>
    </row>
    <row r="261" spans="1:8" hidden="1" x14ac:dyDescent="0.3">
      <c r="A261" s="160">
        <v>122</v>
      </c>
      <c r="B261" s="160"/>
      <c r="C261" s="271"/>
      <c r="D261" s="271"/>
      <c r="E261" s="160"/>
      <c r="F261" s="160"/>
      <c r="G261" s="160"/>
      <c r="H261" s="160"/>
    </row>
    <row r="262" spans="1:8" hidden="1" x14ac:dyDescent="0.3">
      <c r="A262" s="160">
        <v>123</v>
      </c>
      <c r="B262" s="160">
        <v>5</v>
      </c>
      <c r="C262" s="271"/>
      <c r="D262" s="271"/>
      <c r="E262" s="160"/>
      <c r="F262" s="160"/>
      <c r="G262" s="160"/>
      <c r="H262" s="160"/>
    </row>
    <row r="263" spans="1:8" hidden="1" x14ac:dyDescent="0.3">
      <c r="A263" s="160">
        <v>124</v>
      </c>
      <c r="B263" s="160">
        <v>7</v>
      </c>
      <c r="C263" s="271"/>
      <c r="D263" s="271"/>
      <c r="E263" s="160"/>
      <c r="F263" s="160"/>
      <c r="G263" s="160"/>
      <c r="H263" s="160"/>
    </row>
    <row r="264" spans="1:8" hidden="1" x14ac:dyDescent="0.3">
      <c r="A264" s="160">
        <v>125</v>
      </c>
      <c r="B264" s="160">
        <v>4</v>
      </c>
      <c r="C264" s="271"/>
      <c r="D264" s="271"/>
      <c r="E264" s="160"/>
      <c r="F264" s="160"/>
      <c r="G264" s="160"/>
      <c r="H264" s="160"/>
    </row>
    <row r="265" spans="1:8" hidden="1" x14ac:dyDescent="0.3">
      <c r="A265" s="160">
        <v>126</v>
      </c>
      <c r="B265" s="160">
        <v>4</v>
      </c>
      <c r="C265" s="271"/>
      <c r="D265" s="271"/>
      <c r="E265" s="160"/>
      <c r="F265" s="160"/>
      <c r="G265" s="160"/>
      <c r="H265" s="160"/>
    </row>
    <row r="266" spans="1:8" hidden="1" x14ac:dyDescent="0.3">
      <c r="A266" s="160">
        <v>127</v>
      </c>
      <c r="B266" s="160">
        <v>3</v>
      </c>
      <c r="C266" s="271"/>
      <c r="D266" s="271"/>
      <c r="E266" s="160"/>
      <c r="F266" s="160"/>
      <c r="G266" s="160"/>
      <c r="H266" s="160"/>
    </row>
    <row r="267" spans="1:8" hidden="1" x14ac:dyDescent="0.3">
      <c r="A267" s="160">
        <v>128</v>
      </c>
      <c r="B267" s="160">
        <v>1</v>
      </c>
      <c r="C267" s="271"/>
      <c r="D267" s="271"/>
      <c r="E267" s="160"/>
      <c r="F267" s="160"/>
      <c r="G267" s="160"/>
      <c r="H267" s="160"/>
    </row>
    <row r="268" spans="1:8" hidden="1" x14ac:dyDescent="0.3">
      <c r="A268" s="160">
        <v>129</v>
      </c>
      <c r="B268" s="160">
        <v>5</v>
      </c>
      <c r="C268" s="271"/>
      <c r="D268" s="271"/>
      <c r="E268" s="160"/>
      <c r="F268" s="160"/>
      <c r="G268" s="160"/>
      <c r="H268" s="160"/>
    </row>
    <row r="269" spans="1:8" hidden="1" x14ac:dyDescent="0.3">
      <c r="A269" s="160">
        <v>130</v>
      </c>
      <c r="B269" s="160">
        <v>4</v>
      </c>
      <c r="C269" s="271"/>
      <c r="D269" s="271"/>
      <c r="E269" s="160"/>
      <c r="F269" s="160"/>
      <c r="G269" s="160"/>
      <c r="H269" s="160"/>
    </row>
    <row r="270" spans="1:8" hidden="1" x14ac:dyDescent="0.3">
      <c r="A270" s="160">
        <v>131</v>
      </c>
      <c r="B270" s="160">
        <v>30</v>
      </c>
      <c r="C270" s="271"/>
      <c r="D270" s="271"/>
      <c r="E270" s="160"/>
      <c r="F270" s="160"/>
      <c r="G270" s="160"/>
      <c r="H270" s="160"/>
    </row>
    <row r="271" spans="1:8" hidden="1" x14ac:dyDescent="0.3">
      <c r="A271" s="160">
        <v>132</v>
      </c>
      <c r="B271" s="160">
        <v>2</v>
      </c>
      <c r="C271" s="271"/>
      <c r="D271" s="271"/>
      <c r="E271" s="160"/>
      <c r="F271" s="160"/>
      <c r="G271" s="160"/>
      <c r="H271" s="160"/>
    </row>
    <row r="272" spans="1:8" hidden="1" x14ac:dyDescent="0.3">
      <c r="A272" s="160">
        <v>133</v>
      </c>
      <c r="B272" s="160">
        <v>1</v>
      </c>
      <c r="C272" s="271"/>
      <c r="D272" s="271"/>
      <c r="E272" s="160"/>
      <c r="F272" s="160"/>
      <c r="G272" s="160"/>
      <c r="H272" s="160"/>
    </row>
    <row r="273" spans="1:8" hidden="1" x14ac:dyDescent="0.3"/>
    <row r="274" spans="1:8" hidden="1" x14ac:dyDescent="0.3"/>
    <row r="275" spans="1:8" hidden="1" x14ac:dyDescent="0.3"/>
    <row r="276" spans="1:8" hidden="1" x14ac:dyDescent="0.3"/>
    <row r="277" spans="1:8" hidden="1" x14ac:dyDescent="0.3">
      <c r="A277" s="268" t="s">
        <v>219</v>
      </c>
      <c r="B277" s="269"/>
      <c r="C277" s="269"/>
      <c r="D277" s="269"/>
      <c r="E277" s="269"/>
      <c r="F277" s="269"/>
      <c r="G277" s="269"/>
      <c r="H277" s="270"/>
    </row>
    <row r="278" spans="1:8" hidden="1" x14ac:dyDescent="0.3">
      <c r="A278" s="268" t="s">
        <v>211</v>
      </c>
      <c r="B278" s="269"/>
      <c r="C278" s="269"/>
      <c r="D278" s="269"/>
      <c r="E278" s="269"/>
      <c r="F278" s="269"/>
      <c r="G278" s="269"/>
      <c r="H278" s="270"/>
    </row>
    <row r="279" spans="1:8" ht="26.4" hidden="1" x14ac:dyDescent="0.3">
      <c r="A279" s="160" t="s">
        <v>1</v>
      </c>
      <c r="B279" s="160" t="s">
        <v>210</v>
      </c>
      <c r="C279" s="271" t="s">
        <v>212</v>
      </c>
      <c r="D279" s="271"/>
      <c r="E279" s="160" t="s">
        <v>213</v>
      </c>
      <c r="F279" s="160" t="s">
        <v>214</v>
      </c>
      <c r="G279" s="160" t="s">
        <v>215</v>
      </c>
      <c r="H279" s="160" t="s">
        <v>216</v>
      </c>
    </row>
    <row r="280" spans="1:8" hidden="1" x14ac:dyDescent="0.3">
      <c r="A280" s="160">
        <v>1</v>
      </c>
      <c r="B280" s="160">
        <v>5</v>
      </c>
      <c r="C280" s="271"/>
      <c r="D280" s="271"/>
      <c r="E280" s="160"/>
      <c r="F280" s="160"/>
      <c r="G280" s="160"/>
      <c r="H280" s="160"/>
    </row>
    <row r="281" spans="1:8" hidden="1" x14ac:dyDescent="0.3">
      <c r="A281" s="160">
        <v>2</v>
      </c>
      <c r="B281" s="160">
        <v>4</v>
      </c>
      <c r="C281" s="271"/>
      <c r="D281" s="271"/>
      <c r="E281" s="160"/>
      <c r="F281" s="160"/>
      <c r="G281" s="160"/>
      <c r="H281" s="160"/>
    </row>
    <row r="282" spans="1:8" hidden="1" x14ac:dyDescent="0.3">
      <c r="A282" s="160">
        <v>3</v>
      </c>
      <c r="B282" s="160">
        <v>2</v>
      </c>
      <c r="C282" s="271"/>
      <c r="D282" s="271"/>
      <c r="E282" s="160"/>
      <c r="F282" s="160"/>
      <c r="G282" s="160"/>
      <c r="H282" s="160"/>
    </row>
    <row r="283" spans="1:8" hidden="1" x14ac:dyDescent="0.3">
      <c r="A283" s="160">
        <v>4</v>
      </c>
      <c r="B283" s="160">
        <v>1</v>
      </c>
      <c r="C283" s="271"/>
      <c r="D283" s="271"/>
      <c r="E283" s="160"/>
      <c r="F283" s="160"/>
      <c r="G283" s="160"/>
      <c r="H283" s="160"/>
    </row>
    <row r="284" spans="1:8" hidden="1" x14ac:dyDescent="0.3">
      <c r="A284" s="160">
        <v>5</v>
      </c>
      <c r="B284" s="160">
        <v>6</v>
      </c>
      <c r="C284" s="271"/>
      <c r="D284" s="271"/>
      <c r="E284" s="160"/>
      <c r="F284" s="160"/>
      <c r="G284" s="160"/>
      <c r="H284" s="160"/>
    </row>
    <row r="285" spans="1:8" hidden="1" x14ac:dyDescent="0.3">
      <c r="A285" s="160">
        <v>6</v>
      </c>
      <c r="B285" s="160">
        <v>8</v>
      </c>
      <c r="C285" s="271"/>
      <c r="D285" s="271"/>
      <c r="E285" s="160"/>
      <c r="F285" s="160"/>
      <c r="G285" s="160"/>
      <c r="H285" s="160"/>
    </row>
    <row r="286" spans="1:8" hidden="1" x14ac:dyDescent="0.3">
      <c r="A286" s="160">
        <v>7</v>
      </c>
      <c r="B286" s="160">
        <v>4</v>
      </c>
      <c r="C286" s="271"/>
      <c r="D286" s="271"/>
      <c r="E286" s="160"/>
      <c r="F286" s="160"/>
      <c r="G286" s="160"/>
      <c r="H286" s="160"/>
    </row>
    <row r="287" spans="1:8" hidden="1" x14ac:dyDescent="0.3">
      <c r="A287" s="160">
        <v>8</v>
      </c>
      <c r="B287" s="160">
        <v>2</v>
      </c>
      <c r="C287" s="271"/>
      <c r="D287" s="271"/>
      <c r="E287" s="160"/>
      <c r="F287" s="160"/>
      <c r="G287" s="160"/>
      <c r="H287" s="160"/>
    </row>
    <row r="288" spans="1:8" hidden="1" x14ac:dyDescent="0.3">
      <c r="A288" s="160">
        <v>9</v>
      </c>
      <c r="B288" s="160">
        <v>4</v>
      </c>
      <c r="C288" s="271"/>
      <c r="D288" s="271"/>
      <c r="E288" s="160"/>
      <c r="F288" s="160"/>
      <c r="G288" s="160"/>
      <c r="H288" s="160"/>
    </row>
    <row r="289" spans="1:8" hidden="1" x14ac:dyDescent="0.3">
      <c r="A289" s="160">
        <v>10</v>
      </c>
      <c r="B289" s="160">
        <v>1</v>
      </c>
      <c r="C289" s="271"/>
      <c r="D289" s="271"/>
      <c r="E289" s="160"/>
      <c r="F289" s="160"/>
      <c r="G289" s="160"/>
      <c r="H289" s="160"/>
    </row>
    <row r="290" spans="1:8" hidden="1" x14ac:dyDescent="0.3">
      <c r="A290" s="160">
        <v>11</v>
      </c>
      <c r="B290" s="160">
        <v>1</v>
      </c>
      <c r="C290" s="271"/>
      <c r="D290" s="271"/>
      <c r="E290" s="160"/>
      <c r="F290" s="160"/>
      <c r="G290" s="160"/>
      <c r="H290" s="160"/>
    </row>
    <row r="291" spans="1:8" hidden="1" x14ac:dyDescent="0.3">
      <c r="A291" s="160">
        <v>12</v>
      </c>
      <c r="B291" s="160">
        <v>5</v>
      </c>
      <c r="C291" s="271"/>
      <c r="D291" s="271"/>
      <c r="E291" s="160"/>
      <c r="F291" s="160"/>
      <c r="G291" s="160"/>
      <c r="H291" s="160"/>
    </row>
    <row r="292" spans="1:8" hidden="1" x14ac:dyDescent="0.3">
      <c r="A292" s="160">
        <v>13</v>
      </c>
      <c r="B292" s="160">
        <v>6</v>
      </c>
      <c r="C292" s="271"/>
      <c r="D292" s="271"/>
      <c r="E292" s="160"/>
      <c r="F292" s="160"/>
      <c r="G292" s="160"/>
      <c r="H292" s="160"/>
    </row>
    <row r="293" spans="1:8" hidden="1" x14ac:dyDescent="0.3">
      <c r="A293" s="160">
        <v>14</v>
      </c>
      <c r="B293" s="160">
        <v>4</v>
      </c>
      <c r="C293" s="271"/>
      <c r="D293" s="271"/>
      <c r="E293" s="160"/>
      <c r="F293" s="160"/>
      <c r="G293" s="160"/>
      <c r="H293" s="160"/>
    </row>
    <row r="294" spans="1:8" hidden="1" x14ac:dyDescent="0.3">
      <c r="A294" s="160">
        <v>15</v>
      </c>
      <c r="B294" s="160">
        <v>8</v>
      </c>
      <c r="C294" s="271"/>
      <c r="D294" s="271"/>
      <c r="E294" s="160"/>
      <c r="F294" s="160"/>
      <c r="G294" s="160"/>
      <c r="H294" s="160"/>
    </row>
    <row r="295" spans="1:8" hidden="1" x14ac:dyDescent="0.3">
      <c r="A295" s="160">
        <v>16</v>
      </c>
      <c r="B295" s="160">
        <v>2</v>
      </c>
      <c r="C295" s="271"/>
      <c r="D295" s="271"/>
      <c r="E295" s="160"/>
      <c r="F295" s="160"/>
      <c r="G295" s="160"/>
      <c r="H295" s="160"/>
    </row>
    <row r="296" spans="1:8" hidden="1" x14ac:dyDescent="0.3">
      <c r="A296" s="160">
        <v>17</v>
      </c>
      <c r="B296" s="160">
        <v>4</v>
      </c>
      <c r="C296" s="271"/>
      <c r="D296" s="271"/>
      <c r="E296" s="160"/>
      <c r="F296" s="160"/>
      <c r="G296" s="160"/>
      <c r="H296" s="160"/>
    </row>
    <row r="297" spans="1:8" hidden="1" x14ac:dyDescent="0.3">
      <c r="A297" s="160">
        <v>18</v>
      </c>
      <c r="B297" s="160">
        <v>2</v>
      </c>
      <c r="C297" s="271"/>
      <c r="D297" s="271"/>
      <c r="E297" s="160"/>
      <c r="F297" s="160"/>
      <c r="G297" s="160"/>
      <c r="H297" s="160"/>
    </row>
    <row r="298" spans="1:8" hidden="1" x14ac:dyDescent="0.3">
      <c r="A298" s="160">
        <v>19</v>
      </c>
      <c r="B298" s="160">
        <v>4</v>
      </c>
      <c r="C298" s="271"/>
      <c r="D298" s="271"/>
      <c r="E298" s="160"/>
      <c r="F298" s="160"/>
      <c r="G298" s="160"/>
      <c r="H298" s="160"/>
    </row>
    <row r="299" spans="1:8" hidden="1" x14ac:dyDescent="0.3">
      <c r="A299" s="160">
        <v>20</v>
      </c>
      <c r="B299" s="160">
        <v>1</v>
      </c>
      <c r="C299" s="271"/>
      <c r="D299" s="271"/>
      <c r="E299" s="160"/>
      <c r="F299" s="160"/>
      <c r="G299" s="160"/>
      <c r="H299" s="160"/>
    </row>
    <row r="300" spans="1:8" hidden="1" x14ac:dyDescent="0.3">
      <c r="A300" s="160">
        <v>21</v>
      </c>
      <c r="B300" s="160">
        <v>5</v>
      </c>
      <c r="C300" s="271"/>
      <c r="D300" s="271"/>
      <c r="E300" s="160"/>
      <c r="F300" s="160"/>
      <c r="G300" s="160"/>
      <c r="H300" s="160"/>
    </row>
    <row r="301" spans="1:8" hidden="1" x14ac:dyDescent="0.3">
      <c r="A301" s="160">
        <v>22</v>
      </c>
      <c r="B301" s="160">
        <v>4</v>
      </c>
      <c r="C301" s="271"/>
      <c r="D301" s="271"/>
      <c r="E301" s="160"/>
      <c r="F301" s="160"/>
      <c r="G301" s="160"/>
      <c r="H301" s="160"/>
    </row>
    <row r="302" spans="1:8" hidden="1" x14ac:dyDescent="0.3">
      <c r="A302" s="160">
        <v>23</v>
      </c>
      <c r="B302" s="160">
        <v>6</v>
      </c>
      <c r="C302" s="271"/>
      <c r="D302" s="271"/>
      <c r="E302" s="160"/>
      <c r="F302" s="160"/>
      <c r="G302" s="160"/>
      <c r="H302" s="160"/>
    </row>
    <row r="303" spans="1:8" hidden="1" x14ac:dyDescent="0.3">
      <c r="A303" s="160">
        <v>24</v>
      </c>
      <c r="B303" s="160">
        <v>8</v>
      </c>
      <c r="C303" s="271"/>
      <c r="D303" s="271"/>
      <c r="E303" s="160"/>
      <c r="F303" s="160"/>
      <c r="G303" s="160"/>
      <c r="H303" s="160"/>
    </row>
    <row r="304" spans="1:8" hidden="1" x14ac:dyDescent="0.3">
      <c r="A304" s="160">
        <v>25</v>
      </c>
      <c r="B304" s="160">
        <v>2</v>
      </c>
      <c r="C304" s="271"/>
      <c r="D304" s="271"/>
      <c r="E304" s="160"/>
      <c r="F304" s="160"/>
      <c r="G304" s="160"/>
      <c r="H304" s="160"/>
    </row>
    <row r="305" spans="1:8" hidden="1" x14ac:dyDescent="0.3">
      <c r="A305" s="160">
        <v>26</v>
      </c>
      <c r="B305" s="160">
        <v>4</v>
      </c>
      <c r="C305" s="271"/>
      <c r="D305" s="271"/>
      <c r="E305" s="160"/>
      <c r="F305" s="160"/>
      <c r="G305" s="160"/>
      <c r="H305" s="160"/>
    </row>
    <row r="306" spans="1:8" hidden="1" x14ac:dyDescent="0.3">
      <c r="A306" s="160">
        <v>27</v>
      </c>
      <c r="B306" s="160">
        <v>2</v>
      </c>
      <c r="C306" s="271"/>
      <c r="D306" s="271"/>
      <c r="E306" s="160"/>
      <c r="F306" s="160"/>
      <c r="G306" s="160"/>
      <c r="H306" s="160"/>
    </row>
    <row r="307" spans="1:8" hidden="1" x14ac:dyDescent="0.3">
      <c r="A307" s="160">
        <v>28</v>
      </c>
      <c r="B307" s="160">
        <v>4</v>
      </c>
      <c r="C307" s="271"/>
      <c r="D307" s="271"/>
      <c r="E307" s="160"/>
      <c r="F307" s="160"/>
      <c r="G307" s="160"/>
      <c r="H307" s="160"/>
    </row>
    <row r="308" spans="1:8" hidden="1" x14ac:dyDescent="0.3">
      <c r="A308" s="160">
        <v>29</v>
      </c>
      <c r="B308" s="160">
        <v>1</v>
      </c>
      <c r="C308" s="271"/>
      <c r="D308" s="271"/>
      <c r="E308" s="160"/>
      <c r="F308" s="160"/>
      <c r="G308" s="160"/>
      <c r="H308" s="160"/>
    </row>
    <row r="309" spans="1:8" hidden="1" x14ac:dyDescent="0.3">
      <c r="A309" s="160">
        <v>30</v>
      </c>
      <c r="B309" s="160">
        <v>5</v>
      </c>
      <c r="C309" s="271"/>
      <c r="D309" s="271"/>
      <c r="E309" s="160"/>
      <c r="F309" s="160"/>
      <c r="G309" s="160"/>
      <c r="H309" s="160"/>
    </row>
    <row r="310" spans="1:8" hidden="1" x14ac:dyDescent="0.3">
      <c r="A310" s="160">
        <v>31</v>
      </c>
      <c r="B310" s="160">
        <v>6</v>
      </c>
      <c r="C310" s="271"/>
      <c r="D310" s="271"/>
      <c r="E310" s="160"/>
      <c r="F310" s="160"/>
      <c r="G310" s="160"/>
      <c r="H310" s="160"/>
    </row>
    <row r="311" spans="1:8" hidden="1" x14ac:dyDescent="0.3">
      <c r="A311" s="160">
        <v>32</v>
      </c>
      <c r="B311" s="160">
        <v>4</v>
      </c>
      <c r="C311" s="271"/>
      <c r="D311" s="271"/>
      <c r="E311" s="160"/>
      <c r="F311" s="160"/>
      <c r="G311" s="160"/>
      <c r="H311" s="160"/>
    </row>
    <row r="312" spans="1:8" hidden="1" x14ac:dyDescent="0.3">
      <c r="A312" s="160">
        <v>33</v>
      </c>
      <c r="B312" s="160">
        <v>8</v>
      </c>
      <c r="C312" s="271"/>
      <c r="D312" s="271"/>
      <c r="E312" s="160"/>
      <c r="F312" s="160"/>
      <c r="G312" s="160"/>
      <c r="H312" s="160"/>
    </row>
    <row r="313" spans="1:8" hidden="1" x14ac:dyDescent="0.3">
      <c r="A313" s="160">
        <v>34</v>
      </c>
      <c r="B313" s="160">
        <v>2</v>
      </c>
      <c r="C313" s="271"/>
      <c r="D313" s="271"/>
      <c r="E313" s="160"/>
      <c r="F313" s="160"/>
      <c r="G313" s="160"/>
      <c r="H313" s="160"/>
    </row>
    <row r="314" spans="1:8" hidden="1" x14ac:dyDescent="0.3">
      <c r="A314" s="160">
        <v>35</v>
      </c>
      <c r="B314" s="160">
        <v>4</v>
      </c>
      <c r="C314" s="271"/>
      <c r="D314" s="271"/>
      <c r="E314" s="160"/>
      <c r="F314" s="160"/>
      <c r="G314" s="160"/>
      <c r="H314" s="160"/>
    </row>
    <row r="315" spans="1:8" hidden="1" x14ac:dyDescent="0.3">
      <c r="A315" s="160">
        <v>36</v>
      </c>
      <c r="B315" s="160">
        <v>2</v>
      </c>
      <c r="C315" s="271"/>
      <c r="D315" s="271"/>
      <c r="E315" s="160"/>
      <c r="F315" s="160"/>
      <c r="G315" s="160"/>
      <c r="H315" s="160"/>
    </row>
    <row r="316" spans="1:8" hidden="1" x14ac:dyDescent="0.3">
      <c r="A316" s="160">
        <v>37</v>
      </c>
      <c r="B316" s="160">
        <v>4</v>
      </c>
      <c r="C316" s="271"/>
      <c r="D316" s="271"/>
      <c r="E316" s="160"/>
      <c r="F316" s="160"/>
      <c r="G316" s="160"/>
      <c r="H316" s="160"/>
    </row>
    <row r="317" spans="1:8" hidden="1" x14ac:dyDescent="0.3">
      <c r="A317" s="160">
        <v>38</v>
      </c>
      <c r="B317" s="160">
        <v>1</v>
      </c>
      <c r="C317" s="271"/>
      <c r="D317" s="271"/>
      <c r="E317" s="160"/>
      <c r="F317" s="160"/>
      <c r="G317" s="160"/>
      <c r="H317" s="160"/>
    </row>
    <row r="318" spans="1:8" hidden="1" x14ac:dyDescent="0.3">
      <c r="A318" s="160">
        <v>39</v>
      </c>
      <c r="B318" s="160">
        <v>6</v>
      </c>
      <c r="C318" s="271"/>
      <c r="D318" s="271"/>
      <c r="E318" s="160"/>
      <c r="F318" s="160"/>
      <c r="G318" s="160"/>
      <c r="H318" s="160"/>
    </row>
    <row r="319" spans="1:8" hidden="1" x14ac:dyDescent="0.3">
      <c r="A319" s="160">
        <v>40</v>
      </c>
      <c r="B319" s="160">
        <v>5</v>
      </c>
      <c r="C319" s="271"/>
      <c r="D319" s="271"/>
      <c r="E319" s="160"/>
      <c r="F319" s="160"/>
      <c r="G319" s="160"/>
      <c r="H319" s="160"/>
    </row>
    <row r="320" spans="1:8" hidden="1" x14ac:dyDescent="0.3">
      <c r="A320" s="160">
        <v>41</v>
      </c>
      <c r="B320" s="160">
        <v>8</v>
      </c>
      <c r="C320" s="271"/>
      <c r="D320" s="271"/>
      <c r="E320" s="160"/>
      <c r="F320" s="160"/>
      <c r="G320" s="160"/>
      <c r="H320" s="160"/>
    </row>
    <row r="321" spans="1:8" hidden="1" x14ac:dyDescent="0.3">
      <c r="A321" s="160">
        <v>42</v>
      </c>
      <c r="B321" s="160">
        <v>4</v>
      </c>
      <c r="C321" s="271"/>
      <c r="D321" s="271"/>
      <c r="E321" s="160"/>
      <c r="F321" s="160"/>
      <c r="G321" s="160"/>
      <c r="H321" s="160"/>
    </row>
    <row r="322" spans="1:8" hidden="1" x14ac:dyDescent="0.3">
      <c r="A322" s="160">
        <v>43</v>
      </c>
      <c r="B322" s="160">
        <v>2</v>
      </c>
      <c r="C322" s="271"/>
      <c r="D322" s="271"/>
      <c r="E322" s="160"/>
      <c r="F322" s="160"/>
      <c r="G322" s="160"/>
      <c r="H322" s="160"/>
    </row>
    <row r="323" spans="1:8" hidden="1" x14ac:dyDescent="0.3">
      <c r="A323" s="160">
        <v>44</v>
      </c>
      <c r="B323" s="160">
        <v>4</v>
      </c>
      <c r="C323" s="271"/>
      <c r="D323" s="271"/>
      <c r="E323" s="160"/>
      <c r="F323" s="160"/>
      <c r="G323" s="160"/>
      <c r="H323" s="160"/>
    </row>
    <row r="324" spans="1:8" hidden="1" x14ac:dyDescent="0.3">
      <c r="A324" s="160">
        <v>45</v>
      </c>
      <c r="B324" s="160">
        <v>1</v>
      </c>
      <c r="C324" s="271"/>
      <c r="D324" s="271"/>
      <c r="E324" s="160"/>
      <c r="F324" s="160"/>
      <c r="G324" s="160"/>
      <c r="H324" s="160"/>
    </row>
    <row r="325" spans="1:8" hidden="1" x14ac:dyDescent="0.3">
      <c r="A325" s="160">
        <v>46</v>
      </c>
      <c r="B325" s="160">
        <v>5</v>
      </c>
      <c r="C325" s="271"/>
      <c r="D325" s="271"/>
      <c r="E325" s="160"/>
      <c r="F325" s="160"/>
      <c r="G325" s="160"/>
      <c r="H325" s="160"/>
    </row>
    <row r="326" spans="1:8" hidden="1" x14ac:dyDescent="0.3">
      <c r="A326" s="160">
        <v>47</v>
      </c>
      <c r="B326" s="160">
        <v>4</v>
      </c>
      <c r="C326" s="271"/>
      <c r="D326" s="271"/>
      <c r="E326" s="160"/>
      <c r="F326" s="160"/>
      <c r="G326" s="160"/>
      <c r="H326" s="160"/>
    </row>
    <row r="327" spans="1:8" hidden="1" x14ac:dyDescent="0.3">
      <c r="A327" s="160">
        <v>48</v>
      </c>
      <c r="B327" s="160">
        <v>2</v>
      </c>
      <c r="C327" s="271"/>
      <c r="D327" s="271"/>
      <c r="E327" s="160"/>
      <c r="F327" s="160"/>
      <c r="G327" s="160"/>
      <c r="H327" s="160"/>
    </row>
    <row r="328" spans="1:8" hidden="1" x14ac:dyDescent="0.3">
      <c r="A328" s="160">
        <v>49</v>
      </c>
      <c r="B328" s="160">
        <v>6</v>
      </c>
      <c r="C328" s="271"/>
      <c r="D328" s="271"/>
      <c r="E328" s="160"/>
      <c r="F328" s="160"/>
      <c r="G328" s="160"/>
      <c r="H328" s="160"/>
    </row>
    <row r="329" spans="1:8" hidden="1" x14ac:dyDescent="0.3">
      <c r="A329" s="160">
        <v>50</v>
      </c>
      <c r="B329" s="160">
        <v>8</v>
      </c>
      <c r="C329" s="271"/>
      <c r="D329" s="271"/>
      <c r="E329" s="160"/>
      <c r="F329" s="160"/>
      <c r="G329" s="160"/>
      <c r="H329" s="160"/>
    </row>
    <row r="330" spans="1:8" hidden="1" x14ac:dyDescent="0.3">
      <c r="A330" s="160">
        <v>51</v>
      </c>
      <c r="B330" s="160">
        <v>4</v>
      </c>
      <c r="C330" s="271"/>
      <c r="D330" s="271"/>
      <c r="E330" s="160"/>
      <c r="F330" s="160"/>
      <c r="G330" s="160"/>
      <c r="H330" s="160"/>
    </row>
    <row r="331" spans="1:8" hidden="1" x14ac:dyDescent="0.3">
      <c r="A331" s="160">
        <v>52</v>
      </c>
      <c r="B331" s="160">
        <v>2</v>
      </c>
      <c r="C331" s="271"/>
      <c r="D331" s="271"/>
      <c r="E331" s="160"/>
      <c r="F331" s="160"/>
      <c r="G331" s="160"/>
      <c r="H331" s="160"/>
    </row>
    <row r="332" spans="1:8" hidden="1" x14ac:dyDescent="0.3">
      <c r="A332" s="160">
        <v>53</v>
      </c>
      <c r="B332" s="160">
        <v>5</v>
      </c>
      <c r="C332" s="271"/>
      <c r="D332" s="271"/>
      <c r="E332" s="160"/>
      <c r="F332" s="160"/>
      <c r="G332" s="160"/>
      <c r="H332" s="160"/>
    </row>
    <row r="333" spans="1:8" hidden="1" x14ac:dyDescent="0.3">
      <c r="A333" s="160">
        <v>54</v>
      </c>
      <c r="B333" s="160">
        <v>6</v>
      </c>
      <c r="C333" s="271"/>
      <c r="D333" s="271"/>
      <c r="E333" s="160"/>
      <c r="F333" s="160"/>
      <c r="G333" s="160"/>
      <c r="H333" s="160"/>
    </row>
    <row r="334" spans="1:8" hidden="1" x14ac:dyDescent="0.3">
      <c r="A334" s="160">
        <v>55</v>
      </c>
      <c r="B334" s="160">
        <v>4</v>
      </c>
      <c r="C334" s="271"/>
      <c r="D334" s="271"/>
      <c r="E334" s="160"/>
      <c r="F334" s="160"/>
      <c r="G334" s="160"/>
      <c r="H334" s="160"/>
    </row>
    <row r="335" spans="1:8" hidden="1" x14ac:dyDescent="0.3">
      <c r="A335" s="160">
        <v>56</v>
      </c>
      <c r="B335" s="160">
        <v>2</v>
      </c>
      <c r="C335" s="271"/>
      <c r="D335" s="271"/>
      <c r="E335" s="160"/>
      <c r="F335" s="160"/>
      <c r="G335" s="160"/>
      <c r="H335" s="160"/>
    </row>
    <row r="336" spans="1:8" hidden="1" x14ac:dyDescent="0.3">
      <c r="A336" s="160">
        <v>57</v>
      </c>
      <c r="B336" s="160">
        <v>4</v>
      </c>
      <c r="C336" s="271"/>
      <c r="D336" s="271"/>
      <c r="E336" s="160"/>
      <c r="F336" s="160"/>
      <c r="G336" s="160"/>
      <c r="H336" s="160"/>
    </row>
    <row r="337" spans="1:8" hidden="1" x14ac:dyDescent="0.3">
      <c r="A337" s="160">
        <v>58</v>
      </c>
      <c r="B337" s="160">
        <v>2</v>
      </c>
      <c r="C337" s="271"/>
      <c r="D337" s="271"/>
      <c r="E337" s="160"/>
      <c r="F337" s="160"/>
      <c r="G337" s="160"/>
      <c r="H337" s="160"/>
    </row>
    <row r="338" spans="1:8" hidden="1" x14ac:dyDescent="0.3">
      <c r="A338" s="160">
        <v>59</v>
      </c>
      <c r="B338" s="160">
        <v>2</v>
      </c>
      <c r="C338" s="271"/>
      <c r="D338" s="271"/>
      <c r="E338" s="160"/>
      <c r="F338" s="160"/>
      <c r="G338" s="160"/>
      <c r="H338" s="160"/>
    </row>
    <row r="339" spans="1:8" hidden="1" x14ac:dyDescent="0.3">
      <c r="A339" s="160">
        <v>60</v>
      </c>
      <c r="B339" s="160">
        <v>10</v>
      </c>
      <c r="C339" s="271"/>
      <c r="D339" s="271"/>
      <c r="E339" s="160"/>
      <c r="F339" s="160"/>
      <c r="G339" s="160"/>
      <c r="H339" s="160"/>
    </row>
    <row r="340" spans="1:8" hidden="1" x14ac:dyDescent="0.3">
      <c r="A340" s="160">
        <v>61</v>
      </c>
      <c r="B340" s="160">
        <v>7</v>
      </c>
      <c r="C340" s="271"/>
      <c r="D340" s="271"/>
      <c r="E340" s="160"/>
      <c r="F340" s="160"/>
      <c r="G340" s="160"/>
      <c r="H340" s="160"/>
    </row>
    <row r="341" spans="1:8" hidden="1" x14ac:dyDescent="0.3">
      <c r="A341" s="160">
        <v>62</v>
      </c>
      <c r="B341" s="160">
        <v>4</v>
      </c>
      <c r="C341" s="271"/>
      <c r="D341" s="271"/>
      <c r="E341" s="160"/>
      <c r="F341" s="160"/>
      <c r="G341" s="160"/>
      <c r="H341" s="160"/>
    </row>
    <row r="342" spans="1:8" hidden="1" x14ac:dyDescent="0.3">
      <c r="A342" s="160">
        <v>63</v>
      </c>
      <c r="B342" s="160">
        <v>2</v>
      </c>
      <c r="C342" s="271"/>
      <c r="D342" s="271"/>
      <c r="E342" s="160"/>
      <c r="F342" s="160"/>
      <c r="G342" s="160"/>
      <c r="H342" s="160"/>
    </row>
    <row r="343" spans="1:8" hidden="1" x14ac:dyDescent="0.3">
      <c r="A343" s="160">
        <v>64</v>
      </c>
      <c r="B343" s="160">
        <v>6</v>
      </c>
      <c r="C343" s="271"/>
      <c r="D343" s="271"/>
      <c r="E343" s="160"/>
      <c r="F343" s="160"/>
      <c r="G343" s="160"/>
      <c r="H343" s="160"/>
    </row>
    <row r="344" spans="1:8" hidden="1" x14ac:dyDescent="0.3">
      <c r="A344" s="160">
        <v>65</v>
      </c>
      <c r="B344" s="160">
        <v>7</v>
      </c>
      <c r="C344" s="271"/>
      <c r="D344" s="271"/>
      <c r="E344" s="160"/>
      <c r="F344" s="160"/>
      <c r="G344" s="160"/>
      <c r="H344" s="160"/>
    </row>
    <row r="345" spans="1:8" hidden="1" x14ac:dyDescent="0.3">
      <c r="A345" s="160">
        <v>66</v>
      </c>
      <c r="B345" s="160">
        <v>9</v>
      </c>
      <c r="C345" s="271"/>
      <c r="D345" s="271"/>
      <c r="E345" s="160"/>
      <c r="F345" s="160"/>
      <c r="G345" s="160"/>
      <c r="H345" s="160"/>
    </row>
    <row r="346" spans="1:8" hidden="1" x14ac:dyDescent="0.3">
      <c r="A346" s="160">
        <v>67</v>
      </c>
      <c r="B346" s="160">
        <v>4</v>
      </c>
      <c r="C346" s="271"/>
      <c r="D346" s="271"/>
      <c r="E346" s="160"/>
      <c r="F346" s="160"/>
      <c r="G346" s="160"/>
      <c r="H346" s="160"/>
    </row>
    <row r="347" spans="1:8" hidden="1" x14ac:dyDescent="0.3">
      <c r="A347" s="160">
        <v>68</v>
      </c>
      <c r="B347" s="160">
        <v>6</v>
      </c>
      <c r="C347" s="271"/>
      <c r="D347" s="271"/>
      <c r="E347" s="160"/>
      <c r="F347" s="160"/>
      <c r="G347" s="160"/>
      <c r="H347" s="160"/>
    </row>
    <row r="348" spans="1:8" hidden="1" x14ac:dyDescent="0.3">
      <c r="A348" s="160">
        <v>69</v>
      </c>
      <c r="B348" s="160">
        <v>7</v>
      </c>
      <c r="C348" s="271"/>
      <c r="D348" s="271"/>
      <c r="E348" s="160"/>
      <c r="F348" s="160"/>
      <c r="G348" s="160"/>
      <c r="H348" s="160"/>
    </row>
    <row r="349" spans="1:8" hidden="1" x14ac:dyDescent="0.3">
      <c r="A349" s="160">
        <v>70</v>
      </c>
      <c r="B349" s="160">
        <v>2</v>
      </c>
      <c r="C349" s="271"/>
      <c r="D349" s="271"/>
      <c r="E349" s="160"/>
      <c r="F349" s="160"/>
      <c r="G349" s="160"/>
      <c r="H349" s="160"/>
    </row>
    <row r="350" spans="1:8" hidden="1" x14ac:dyDescent="0.3">
      <c r="A350" s="160">
        <v>71</v>
      </c>
      <c r="B350" s="160">
        <v>4</v>
      </c>
      <c r="C350" s="271"/>
      <c r="D350" s="271"/>
      <c r="E350" s="160"/>
      <c r="F350" s="160"/>
      <c r="G350" s="160"/>
      <c r="H350" s="160"/>
    </row>
    <row r="351" spans="1:8" hidden="1" x14ac:dyDescent="0.3">
      <c r="A351" s="160">
        <v>72</v>
      </c>
      <c r="B351" s="160">
        <v>5</v>
      </c>
      <c r="C351" s="271"/>
      <c r="D351" s="271"/>
      <c r="E351" s="160"/>
      <c r="F351" s="160"/>
      <c r="G351" s="160"/>
      <c r="H351" s="160"/>
    </row>
    <row r="352" spans="1:8" hidden="1" x14ac:dyDescent="0.3">
      <c r="A352" s="160">
        <v>73</v>
      </c>
      <c r="B352" s="160">
        <v>3</v>
      </c>
      <c r="C352" s="271"/>
      <c r="D352" s="271"/>
      <c r="E352" s="160"/>
      <c r="F352" s="160"/>
      <c r="G352" s="160"/>
      <c r="H352" s="160"/>
    </row>
    <row r="353" spans="1:8" hidden="1" x14ac:dyDescent="0.3">
      <c r="A353" s="160">
        <v>74</v>
      </c>
      <c r="B353" s="160">
        <v>5</v>
      </c>
      <c r="C353" s="271"/>
      <c r="D353" s="271"/>
      <c r="E353" s="160"/>
      <c r="F353" s="160"/>
      <c r="G353" s="160"/>
      <c r="H353" s="160"/>
    </row>
    <row r="354" spans="1:8" hidden="1" x14ac:dyDescent="0.3">
      <c r="A354" s="160">
        <v>75</v>
      </c>
      <c r="B354" s="160">
        <v>16</v>
      </c>
      <c r="C354" s="271"/>
      <c r="D354" s="271"/>
      <c r="E354" s="160"/>
      <c r="F354" s="160"/>
      <c r="G354" s="160"/>
      <c r="H354" s="160"/>
    </row>
    <row r="355" spans="1:8" hidden="1" x14ac:dyDescent="0.3">
      <c r="A355" s="160">
        <v>76</v>
      </c>
      <c r="B355" s="160">
        <v>5</v>
      </c>
      <c r="C355" s="271"/>
      <c r="D355" s="271"/>
      <c r="E355" s="160"/>
      <c r="F355" s="160"/>
      <c r="G355" s="160"/>
      <c r="H355" s="160"/>
    </row>
    <row r="356" spans="1:8" hidden="1" x14ac:dyDescent="0.3">
      <c r="A356" s="160">
        <v>77</v>
      </c>
      <c r="B356" s="160">
        <v>9</v>
      </c>
      <c r="C356" s="271"/>
      <c r="D356" s="271"/>
      <c r="E356" s="160"/>
      <c r="F356" s="160"/>
      <c r="G356" s="160"/>
      <c r="H356" s="160"/>
    </row>
    <row r="357" spans="1:8" hidden="1" x14ac:dyDescent="0.3">
      <c r="A357" s="160">
        <v>78</v>
      </c>
      <c r="B357" s="160">
        <v>8</v>
      </c>
      <c r="C357" s="271"/>
      <c r="D357" s="271"/>
      <c r="E357" s="160"/>
      <c r="F357" s="160"/>
      <c r="G357" s="160"/>
      <c r="H357" s="160"/>
    </row>
    <row r="358" spans="1:8" hidden="1" x14ac:dyDescent="0.3">
      <c r="A358" s="160">
        <v>79</v>
      </c>
      <c r="B358" s="160">
        <v>8</v>
      </c>
      <c r="C358" s="271"/>
      <c r="D358" s="271"/>
      <c r="E358" s="160"/>
      <c r="F358" s="160"/>
      <c r="G358" s="160"/>
      <c r="H358" s="160"/>
    </row>
    <row r="359" spans="1:8" hidden="1" x14ac:dyDescent="0.3">
      <c r="A359" s="160">
        <v>80</v>
      </c>
      <c r="B359" s="160">
        <v>3</v>
      </c>
      <c r="C359" s="271"/>
      <c r="D359" s="271"/>
      <c r="E359" s="160"/>
      <c r="F359" s="160"/>
      <c r="G359" s="160"/>
      <c r="H359" s="160"/>
    </row>
    <row r="360" spans="1:8" hidden="1" x14ac:dyDescent="0.3">
      <c r="A360" s="160">
        <v>81</v>
      </c>
      <c r="B360" s="160">
        <v>3</v>
      </c>
      <c r="C360" s="271"/>
      <c r="D360" s="271"/>
      <c r="E360" s="160"/>
      <c r="F360" s="160"/>
      <c r="G360" s="160"/>
      <c r="H360" s="160"/>
    </row>
    <row r="361" spans="1:8" hidden="1" x14ac:dyDescent="0.3">
      <c r="A361" s="160">
        <v>82</v>
      </c>
      <c r="B361" s="160">
        <v>6</v>
      </c>
      <c r="C361" s="271"/>
      <c r="D361" s="271"/>
      <c r="E361" s="160"/>
      <c r="F361" s="160"/>
      <c r="G361" s="160"/>
      <c r="H361" s="160"/>
    </row>
    <row r="362" spans="1:8" hidden="1" x14ac:dyDescent="0.3">
      <c r="A362" s="160">
        <v>83</v>
      </c>
      <c r="B362" s="160">
        <v>6</v>
      </c>
      <c r="C362" s="271"/>
      <c r="D362" s="271"/>
      <c r="E362" s="160"/>
      <c r="F362" s="160"/>
      <c r="G362" s="160"/>
      <c r="H362" s="160"/>
    </row>
    <row r="363" spans="1:8" hidden="1" x14ac:dyDescent="0.3">
      <c r="A363" s="160">
        <v>84</v>
      </c>
      <c r="B363" s="160">
        <v>4</v>
      </c>
      <c r="C363" s="271"/>
      <c r="D363" s="271"/>
      <c r="E363" s="160"/>
      <c r="F363" s="160"/>
      <c r="G363" s="160"/>
      <c r="H363" s="160"/>
    </row>
    <row r="364" spans="1:8" hidden="1" x14ac:dyDescent="0.3">
      <c r="A364" s="160">
        <v>85</v>
      </c>
      <c r="B364" s="160">
        <v>8</v>
      </c>
      <c r="C364" s="271"/>
      <c r="D364" s="271"/>
      <c r="E364" s="160"/>
      <c r="F364" s="160"/>
      <c r="G364" s="160"/>
      <c r="H364" s="160"/>
    </row>
    <row r="365" spans="1:8" hidden="1" x14ac:dyDescent="0.3">
      <c r="A365" s="160">
        <v>86</v>
      </c>
      <c r="B365" s="160">
        <v>2</v>
      </c>
      <c r="C365" s="271"/>
      <c r="D365" s="271"/>
      <c r="E365" s="160"/>
      <c r="F365" s="160"/>
      <c r="G365" s="160"/>
      <c r="H365" s="160"/>
    </row>
    <row r="366" spans="1:8" hidden="1" x14ac:dyDescent="0.3">
      <c r="A366" s="160">
        <v>87</v>
      </c>
      <c r="B366" s="160">
        <v>7</v>
      </c>
      <c r="C366" s="271"/>
      <c r="D366" s="271"/>
      <c r="E366" s="160"/>
      <c r="F366" s="160"/>
      <c r="G366" s="160"/>
      <c r="H366" s="160"/>
    </row>
    <row r="367" spans="1:8" hidden="1" x14ac:dyDescent="0.3">
      <c r="A367" s="160">
        <v>88</v>
      </c>
      <c r="B367" s="160">
        <v>5</v>
      </c>
      <c r="C367" s="271"/>
      <c r="D367" s="271"/>
      <c r="E367" s="160"/>
      <c r="F367" s="160"/>
      <c r="G367" s="160"/>
      <c r="H367" s="160"/>
    </row>
    <row r="368" spans="1:8" hidden="1" x14ac:dyDescent="0.3">
      <c r="A368" s="160">
        <v>89</v>
      </c>
      <c r="B368" s="160">
        <v>6</v>
      </c>
      <c r="C368" s="271"/>
      <c r="D368" s="271"/>
      <c r="E368" s="160"/>
      <c r="F368" s="160"/>
      <c r="G368" s="160"/>
      <c r="H368" s="160"/>
    </row>
    <row r="369" spans="1:8" hidden="1" x14ac:dyDescent="0.3">
      <c r="A369" s="160">
        <v>90</v>
      </c>
      <c r="B369" s="160">
        <v>4</v>
      </c>
      <c r="C369" s="271"/>
      <c r="D369" s="271"/>
      <c r="E369" s="160"/>
      <c r="F369" s="160"/>
      <c r="G369" s="160"/>
      <c r="H369" s="160"/>
    </row>
    <row r="370" spans="1:8" hidden="1" x14ac:dyDescent="0.3">
      <c r="A370" s="160">
        <v>91</v>
      </c>
      <c r="B370" s="160">
        <v>8</v>
      </c>
      <c r="C370" s="271"/>
      <c r="D370" s="271"/>
      <c r="E370" s="160"/>
      <c r="F370" s="160"/>
      <c r="G370" s="160"/>
      <c r="H370" s="160"/>
    </row>
    <row r="371" spans="1:8" hidden="1" x14ac:dyDescent="0.3">
      <c r="A371" s="160">
        <v>92</v>
      </c>
      <c r="B371" s="160">
        <v>2</v>
      </c>
      <c r="C371" s="271"/>
      <c r="D371" s="271"/>
      <c r="E371" s="160"/>
      <c r="F371" s="160"/>
      <c r="G371" s="160"/>
      <c r="H371" s="160"/>
    </row>
    <row r="372" spans="1:8" hidden="1" x14ac:dyDescent="0.3">
      <c r="A372" s="160">
        <v>93</v>
      </c>
      <c r="B372" s="160">
        <v>7</v>
      </c>
      <c r="C372" s="271"/>
      <c r="D372" s="271"/>
      <c r="E372" s="160"/>
      <c r="F372" s="160"/>
      <c r="G372" s="160"/>
      <c r="H372" s="160"/>
    </row>
    <row r="373" spans="1:8" hidden="1" x14ac:dyDescent="0.3">
      <c r="A373" s="160">
        <v>94</v>
      </c>
      <c r="B373" s="160">
        <v>1</v>
      </c>
      <c r="C373" s="271"/>
      <c r="D373" s="271"/>
      <c r="E373" s="160"/>
      <c r="F373" s="160"/>
      <c r="G373" s="160"/>
      <c r="H373" s="160"/>
    </row>
    <row r="374" spans="1:8" hidden="1" x14ac:dyDescent="0.3">
      <c r="A374" s="160">
        <v>95</v>
      </c>
      <c r="B374" s="160">
        <v>2</v>
      </c>
      <c r="C374" s="271"/>
      <c r="D374" s="271"/>
      <c r="E374" s="160"/>
      <c r="F374" s="160"/>
      <c r="G374" s="160"/>
      <c r="H374" s="160"/>
    </row>
    <row r="375" spans="1:8" hidden="1" x14ac:dyDescent="0.3">
      <c r="A375" s="160">
        <v>96</v>
      </c>
      <c r="B375" s="160">
        <v>3</v>
      </c>
      <c r="C375" s="271"/>
      <c r="D375" s="271"/>
      <c r="E375" s="160"/>
      <c r="F375" s="160"/>
      <c r="G375" s="160"/>
      <c r="H375" s="160"/>
    </row>
    <row r="376" spans="1:8" hidden="1" x14ac:dyDescent="0.3">
      <c r="A376" s="160">
        <v>97</v>
      </c>
      <c r="B376" s="160"/>
      <c r="C376" s="271"/>
      <c r="D376" s="271"/>
      <c r="E376" s="160"/>
      <c r="F376" s="160"/>
      <c r="G376" s="160"/>
      <c r="H376" s="160"/>
    </row>
    <row r="377" spans="1:8" hidden="1" x14ac:dyDescent="0.3">
      <c r="A377" s="160">
        <v>98</v>
      </c>
      <c r="B377" s="160"/>
      <c r="C377" s="271"/>
      <c r="D377" s="271"/>
      <c r="E377" s="160"/>
      <c r="F377" s="160"/>
      <c r="G377" s="160"/>
      <c r="H377" s="160"/>
    </row>
    <row r="378" spans="1:8" hidden="1" x14ac:dyDescent="0.3">
      <c r="A378" s="160">
        <v>99</v>
      </c>
      <c r="B378" s="160">
        <v>1</v>
      </c>
      <c r="C378" s="271"/>
      <c r="D378" s="271"/>
      <c r="E378" s="160"/>
      <c r="F378" s="160"/>
      <c r="G378" s="160"/>
      <c r="H378" s="160"/>
    </row>
    <row r="379" spans="1:8" hidden="1" x14ac:dyDescent="0.3">
      <c r="A379" s="160">
        <v>100</v>
      </c>
      <c r="B379" s="160">
        <v>2</v>
      </c>
      <c r="C379" s="271"/>
      <c r="D379" s="271"/>
      <c r="E379" s="160"/>
      <c r="F379" s="160"/>
      <c r="G379" s="160"/>
      <c r="H379" s="160"/>
    </row>
    <row r="380" spans="1:8" hidden="1" x14ac:dyDescent="0.3">
      <c r="A380" s="160">
        <v>101</v>
      </c>
      <c r="B380" s="160"/>
      <c r="C380" s="271"/>
      <c r="D380" s="271"/>
      <c r="E380" s="160"/>
      <c r="F380" s="160"/>
      <c r="G380" s="160"/>
      <c r="H380" s="160"/>
    </row>
    <row r="381" spans="1:8" hidden="1" x14ac:dyDescent="0.3">
      <c r="A381" s="160">
        <v>102</v>
      </c>
      <c r="B381" s="160">
        <v>4</v>
      </c>
      <c r="C381" s="271"/>
      <c r="D381" s="271"/>
      <c r="E381" s="160"/>
      <c r="F381" s="160"/>
      <c r="G381" s="160"/>
      <c r="H381" s="160"/>
    </row>
    <row r="382" spans="1:8" hidden="1" x14ac:dyDescent="0.3">
      <c r="A382" s="160">
        <v>103</v>
      </c>
      <c r="B382" s="160">
        <v>3</v>
      </c>
      <c r="C382" s="271"/>
      <c r="D382" s="271"/>
      <c r="E382" s="160"/>
      <c r="F382" s="160"/>
      <c r="G382" s="160"/>
      <c r="H382" s="160"/>
    </row>
    <row r="383" spans="1:8" hidden="1" x14ac:dyDescent="0.3">
      <c r="A383" s="160">
        <v>104</v>
      </c>
      <c r="B383" s="160">
        <v>5</v>
      </c>
      <c r="C383" s="271"/>
      <c r="D383" s="271"/>
      <c r="E383" s="160"/>
      <c r="F383" s="160"/>
      <c r="G383" s="160"/>
      <c r="H383" s="160"/>
    </row>
    <row r="384" spans="1:8" hidden="1" x14ac:dyDescent="0.3">
      <c r="A384" s="160">
        <v>105</v>
      </c>
      <c r="B384" s="160">
        <v>5</v>
      </c>
      <c r="C384" s="271"/>
      <c r="D384" s="271"/>
      <c r="E384" s="160"/>
      <c r="F384" s="160"/>
      <c r="G384" s="160"/>
      <c r="H384" s="160"/>
    </row>
    <row r="385" spans="1:8" hidden="1" x14ac:dyDescent="0.3">
      <c r="A385" s="160">
        <v>106</v>
      </c>
      <c r="B385" s="160">
        <v>1</v>
      </c>
      <c r="C385" s="271"/>
      <c r="D385" s="271"/>
      <c r="E385" s="160"/>
      <c r="F385" s="160"/>
      <c r="G385" s="160"/>
      <c r="H385" s="160"/>
    </row>
    <row r="386" spans="1:8" hidden="1" x14ac:dyDescent="0.3">
      <c r="A386" s="160">
        <v>107</v>
      </c>
      <c r="B386" s="160">
        <v>4</v>
      </c>
      <c r="C386" s="271"/>
      <c r="D386" s="271"/>
      <c r="E386" s="160"/>
      <c r="F386" s="160"/>
      <c r="G386" s="160"/>
      <c r="H386" s="160"/>
    </row>
    <row r="387" spans="1:8" hidden="1" x14ac:dyDescent="0.3">
      <c r="A387" s="160">
        <v>108</v>
      </c>
      <c r="B387" s="160">
        <v>6</v>
      </c>
      <c r="C387" s="271"/>
      <c r="D387" s="271"/>
      <c r="E387" s="160"/>
      <c r="F387" s="160"/>
      <c r="G387" s="160"/>
      <c r="H387" s="160"/>
    </row>
    <row r="388" spans="1:8" hidden="1" x14ac:dyDescent="0.3">
      <c r="A388" s="160">
        <v>109</v>
      </c>
      <c r="B388" s="160">
        <v>2</v>
      </c>
      <c r="C388" s="271"/>
      <c r="D388" s="271"/>
      <c r="E388" s="160"/>
      <c r="F388" s="160"/>
      <c r="G388" s="160"/>
      <c r="H388" s="160"/>
    </row>
    <row r="389" spans="1:8" hidden="1" x14ac:dyDescent="0.3">
      <c r="A389" s="160">
        <v>110</v>
      </c>
      <c r="B389" s="160">
        <v>2</v>
      </c>
      <c r="C389" s="271"/>
      <c r="D389" s="271"/>
      <c r="E389" s="160"/>
      <c r="F389" s="160"/>
      <c r="G389" s="160"/>
      <c r="H389" s="160"/>
    </row>
    <row r="390" spans="1:8" hidden="1" x14ac:dyDescent="0.3">
      <c r="A390" s="160">
        <v>111</v>
      </c>
      <c r="B390" s="160">
        <v>3</v>
      </c>
      <c r="C390" s="271"/>
      <c r="D390" s="271"/>
      <c r="E390" s="160"/>
      <c r="F390" s="160"/>
      <c r="G390" s="160"/>
      <c r="H390" s="160"/>
    </row>
    <row r="391" spans="1:8" hidden="1" x14ac:dyDescent="0.3">
      <c r="A391" s="160">
        <v>112</v>
      </c>
      <c r="B391" s="160">
        <v>5</v>
      </c>
      <c r="C391" s="271"/>
      <c r="D391" s="271"/>
      <c r="E391" s="160"/>
      <c r="F391" s="160"/>
      <c r="G391" s="160"/>
      <c r="H391" s="160"/>
    </row>
    <row r="392" spans="1:8" hidden="1" x14ac:dyDescent="0.3">
      <c r="A392" s="160">
        <v>113</v>
      </c>
      <c r="B392" s="160">
        <v>5</v>
      </c>
      <c r="C392" s="271"/>
      <c r="D392" s="271"/>
      <c r="E392" s="160"/>
      <c r="F392" s="160"/>
      <c r="G392" s="160"/>
      <c r="H392" s="160"/>
    </row>
    <row r="393" spans="1:8" hidden="1" x14ac:dyDescent="0.3">
      <c r="A393" s="160">
        <v>114</v>
      </c>
      <c r="B393" s="160">
        <v>3</v>
      </c>
      <c r="C393" s="271"/>
      <c r="D393" s="271"/>
      <c r="E393" s="160"/>
      <c r="F393" s="160"/>
      <c r="G393" s="160"/>
      <c r="H393" s="160"/>
    </row>
    <row r="394" spans="1:8" hidden="1" x14ac:dyDescent="0.3">
      <c r="A394" s="160">
        <v>115</v>
      </c>
      <c r="B394" s="160">
        <v>4</v>
      </c>
      <c r="C394" s="271"/>
      <c r="D394" s="271"/>
      <c r="E394" s="160"/>
      <c r="F394" s="160"/>
      <c r="G394" s="160"/>
      <c r="H394" s="160"/>
    </row>
    <row r="395" spans="1:8" hidden="1" x14ac:dyDescent="0.3">
      <c r="A395" s="160">
        <v>116</v>
      </c>
      <c r="B395" s="160">
        <v>5</v>
      </c>
      <c r="C395" s="271"/>
      <c r="D395" s="271"/>
      <c r="E395" s="160"/>
      <c r="F395" s="160"/>
      <c r="G395" s="160"/>
      <c r="H395" s="160"/>
    </row>
    <row r="396" spans="1:8" hidden="1" x14ac:dyDescent="0.3">
      <c r="A396" s="160">
        <v>117</v>
      </c>
      <c r="B396" s="160">
        <v>5</v>
      </c>
      <c r="C396" s="271"/>
      <c r="D396" s="271"/>
      <c r="E396" s="160"/>
      <c r="F396" s="160"/>
      <c r="G396" s="160"/>
      <c r="H396" s="160"/>
    </row>
    <row r="397" spans="1:8" hidden="1" x14ac:dyDescent="0.3">
      <c r="A397" s="160">
        <v>118</v>
      </c>
      <c r="B397" s="160">
        <v>7</v>
      </c>
      <c r="C397" s="271"/>
      <c r="D397" s="271"/>
      <c r="E397" s="160"/>
      <c r="F397" s="160"/>
      <c r="G397" s="160"/>
      <c r="H397" s="160"/>
    </row>
    <row r="398" spans="1:8" hidden="1" x14ac:dyDescent="0.3">
      <c r="A398" s="160">
        <v>119</v>
      </c>
      <c r="B398" s="160">
        <v>3</v>
      </c>
      <c r="C398" s="271"/>
      <c r="D398" s="271"/>
      <c r="E398" s="160"/>
      <c r="F398" s="160"/>
      <c r="G398" s="160"/>
      <c r="H398" s="160"/>
    </row>
    <row r="399" spans="1:8" hidden="1" x14ac:dyDescent="0.3">
      <c r="A399" s="160">
        <v>120</v>
      </c>
      <c r="B399" s="160">
        <v>1</v>
      </c>
      <c r="C399" s="271"/>
      <c r="D399" s="271"/>
      <c r="E399" s="160"/>
      <c r="F399" s="160"/>
      <c r="G399" s="160"/>
      <c r="H399" s="160"/>
    </row>
    <row r="400" spans="1:8" hidden="1" x14ac:dyDescent="0.3">
      <c r="A400" s="160">
        <v>121</v>
      </c>
      <c r="B400" s="160">
        <v>1</v>
      </c>
      <c r="C400" s="271"/>
      <c r="D400" s="271"/>
      <c r="E400" s="160"/>
      <c r="F400" s="160"/>
      <c r="G400" s="160"/>
      <c r="H400" s="160"/>
    </row>
    <row r="401" spans="1:8" hidden="1" x14ac:dyDescent="0.3">
      <c r="A401" s="160">
        <v>122</v>
      </c>
      <c r="B401" s="160"/>
      <c r="C401" s="271"/>
      <c r="D401" s="271"/>
      <c r="E401" s="160"/>
      <c r="F401" s="160"/>
      <c r="G401" s="160"/>
      <c r="H401" s="160"/>
    </row>
    <row r="402" spans="1:8" hidden="1" x14ac:dyDescent="0.3">
      <c r="A402" s="160">
        <v>123</v>
      </c>
      <c r="B402" s="160">
        <v>5</v>
      </c>
      <c r="C402" s="271"/>
      <c r="D402" s="271"/>
      <c r="E402" s="160"/>
      <c r="F402" s="160"/>
      <c r="G402" s="160"/>
      <c r="H402" s="160"/>
    </row>
    <row r="403" spans="1:8" hidden="1" x14ac:dyDescent="0.3">
      <c r="A403" s="160">
        <v>124</v>
      </c>
      <c r="B403" s="160">
        <v>7</v>
      </c>
      <c r="C403" s="271"/>
      <c r="D403" s="271"/>
      <c r="E403" s="160"/>
      <c r="F403" s="160"/>
      <c r="G403" s="160"/>
      <c r="H403" s="160"/>
    </row>
    <row r="404" spans="1:8" hidden="1" x14ac:dyDescent="0.3">
      <c r="A404" s="160">
        <v>125</v>
      </c>
      <c r="B404" s="160"/>
      <c r="C404" s="271"/>
      <c r="D404" s="271"/>
      <c r="E404" s="160"/>
      <c r="F404" s="160"/>
      <c r="G404" s="160"/>
      <c r="H404" s="160"/>
    </row>
    <row r="405" spans="1:8" hidden="1" x14ac:dyDescent="0.3">
      <c r="A405" s="160">
        <v>126</v>
      </c>
      <c r="B405" s="160">
        <v>5</v>
      </c>
      <c r="C405" s="271"/>
      <c r="D405" s="271"/>
      <c r="E405" s="160"/>
      <c r="F405" s="160"/>
      <c r="G405" s="160"/>
      <c r="H405" s="160"/>
    </row>
    <row r="406" spans="1:8" hidden="1" x14ac:dyDescent="0.3">
      <c r="A406" s="160">
        <v>127</v>
      </c>
      <c r="B406" s="160">
        <v>6</v>
      </c>
      <c r="C406" s="271"/>
      <c r="D406" s="271"/>
      <c r="E406" s="160"/>
      <c r="F406" s="160"/>
      <c r="G406" s="160"/>
      <c r="H406" s="160"/>
    </row>
    <row r="407" spans="1:8" hidden="1" x14ac:dyDescent="0.3">
      <c r="A407" s="160">
        <v>128</v>
      </c>
      <c r="B407" s="160">
        <v>4</v>
      </c>
      <c r="C407" s="271"/>
      <c r="D407" s="271"/>
      <c r="E407" s="160"/>
      <c r="F407" s="160"/>
      <c r="G407" s="160"/>
      <c r="H407" s="160"/>
    </row>
    <row r="408" spans="1:8" hidden="1" x14ac:dyDescent="0.3">
      <c r="A408" s="160">
        <v>129</v>
      </c>
      <c r="B408" s="160">
        <v>8</v>
      </c>
      <c r="C408" s="271"/>
      <c r="D408" s="271"/>
      <c r="E408" s="160"/>
      <c r="F408" s="160"/>
      <c r="G408" s="160"/>
      <c r="H408" s="160"/>
    </row>
    <row r="409" spans="1:8" hidden="1" x14ac:dyDescent="0.3">
      <c r="A409" s="160">
        <v>130</v>
      </c>
      <c r="B409" s="160">
        <v>2</v>
      </c>
      <c r="C409" s="271"/>
      <c r="D409" s="271"/>
      <c r="E409" s="160"/>
      <c r="F409" s="160"/>
      <c r="G409" s="160"/>
      <c r="H409" s="160"/>
    </row>
    <row r="410" spans="1:8" hidden="1" x14ac:dyDescent="0.3">
      <c r="A410" s="160">
        <v>131</v>
      </c>
      <c r="B410" s="160">
        <v>4</v>
      </c>
      <c r="C410" s="271"/>
      <c r="D410" s="271"/>
      <c r="E410" s="160"/>
      <c r="F410" s="160"/>
      <c r="G410" s="160"/>
      <c r="H410" s="160"/>
    </row>
    <row r="411" spans="1:8" hidden="1" x14ac:dyDescent="0.3">
      <c r="A411" s="160">
        <v>132</v>
      </c>
      <c r="B411" s="160">
        <v>1</v>
      </c>
      <c r="C411" s="271"/>
      <c r="D411" s="271"/>
      <c r="E411" s="160"/>
      <c r="F411" s="160"/>
      <c r="G411" s="160"/>
      <c r="H411" s="160"/>
    </row>
    <row r="412" spans="1:8" hidden="1" x14ac:dyDescent="0.3">
      <c r="A412" s="160">
        <v>133</v>
      </c>
      <c r="B412" s="160">
        <v>4</v>
      </c>
      <c r="C412" s="271"/>
      <c r="D412" s="271"/>
      <c r="E412" s="160"/>
      <c r="F412" s="160"/>
      <c r="G412" s="160"/>
      <c r="H412" s="160"/>
    </row>
    <row r="413" spans="1:8" hidden="1" x14ac:dyDescent="0.3">
      <c r="A413" s="160">
        <v>134</v>
      </c>
      <c r="B413" s="160">
        <v>8</v>
      </c>
      <c r="C413" s="271"/>
      <c r="D413" s="271"/>
      <c r="E413" s="160"/>
      <c r="F413" s="160"/>
      <c r="G413" s="160"/>
      <c r="H413" s="160"/>
    </row>
    <row r="414" spans="1:8" hidden="1" x14ac:dyDescent="0.3">
      <c r="A414" s="160">
        <v>135</v>
      </c>
      <c r="B414" s="160">
        <v>2</v>
      </c>
      <c r="C414" s="271"/>
      <c r="D414" s="271"/>
      <c r="E414" s="160"/>
      <c r="F414" s="160"/>
      <c r="G414" s="160"/>
      <c r="H414" s="160"/>
    </row>
    <row r="415" spans="1:8" hidden="1" x14ac:dyDescent="0.3">
      <c r="A415" s="160">
        <v>136</v>
      </c>
      <c r="B415" s="160">
        <v>3</v>
      </c>
      <c r="C415" s="271"/>
      <c r="D415" s="271"/>
      <c r="E415" s="160"/>
      <c r="F415" s="160"/>
      <c r="G415" s="160"/>
      <c r="H415" s="160"/>
    </row>
    <row r="416" spans="1:8" hidden="1" x14ac:dyDescent="0.3">
      <c r="A416" s="160">
        <v>137</v>
      </c>
      <c r="B416" s="160">
        <v>2</v>
      </c>
      <c r="C416" s="271"/>
      <c r="D416" s="271"/>
      <c r="E416" s="160"/>
      <c r="F416" s="160"/>
      <c r="G416" s="160"/>
      <c r="H416" s="160"/>
    </row>
    <row r="417" spans="1:8" hidden="1" x14ac:dyDescent="0.3">
      <c r="A417" s="160">
        <v>138</v>
      </c>
      <c r="B417" s="160">
        <v>5</v>
      </c>
      <c r="C417" s="271"/>
      <c r="D417" s="271"/>
      <c r="E417" s="160"/>
      <c r="F417" s="160"/>
      <c r="G417" s="160"/>
      <c r="H417" s="160"/>
    </row>
    <row r="418" spans="1:8" hidden="1" x14ac:dyDescent="0.3">
      <c r="A418" s="160">
        <v>139</v>
      </c>
      <c r="B418" s="160">
        <v>3</v>
      </c>
      <c r="C418" s="271"/>
      <c r="D418" s="271"/>
      <c r="E418" s="160"/>
      <c r="F418" s="160"/>
      <c r="G418" s="160"/>
      <c r="H418" s="160"/>
    </row>
    <row r="419" spans="1:8" hidden="1" x14ac:dyDescent="0.3">
      <c r="A419" s="160">
        <v>140</v>
      </c>
      <c r="B419" s="160">
        <v>2</v>
      </c>
      <c r="C419" s="271"/>
      <c r="D419" s="271"/>
      <c r="E419" s="160"/>
      <c r="F419" s="160"/>
      <c r="G419" s="160"/>
      <c r="H419" s="160"/>
    </row>
    <row r="420" spans="1:8" hidden="1" x14ac:dyDescent="0.3">
      <c r="A420" s="160">
        <v>141</v>
      </c>
      <c r="B420" s="160">
        <v>30</v>
      </c>
      <c r="C420" s="271"/>
      <c r="D420" s="271"/>
      <c r="E420" s="160"/>
      <c r="F420" s="160"/>
      <c r="G420" s="160"/>
      <c r="H420" s="160"/>
    </row>
    <row r="421" spans="1:8" hidden="1" x14ac:dyDescent="0.3">
      <c r="A421" s="160">
        <v>142</v>
      </c>
      <c r="B421" s="160">
        <v>5</v>
      </c>
      <c r="C421" s="271"/>
      <c r="D421" s="271"/>
      <c r="E421" s="160"/>
      <c r="F421" s="160"/>
      <c r="G421" s="160"/>
      <c r="H421" s="160"/>
    </row>
    <row r="422" spans="1:8" hidden="1" x14ac:dyDescent="0.3">
      <c r="C422" s="161">
        <v>3</v>
      </c>
      <c r="D422" s="161">
        <v>2</v>
      </c>
      <c r="E422" s="161">
        <v>1</v>
      </c>
    </row>
    <row r="423" spans="1:8" hidden="1" x14ac:dyDescent="0.3">
      <c r="B423" s="161">
        <v>1</v>
      </c>
      <c r="C423" s="161">
        <f t="shared" ref="C423:C434" si="2">COUNTIF($B$280:$B$421,B423)</f>
        <v>13</v>
      </c>
      <c r="D423" s="161">
        <f t="shared" ref="D423:D434" si="3">COUNTIF($B$140:$B$272,B423)</f>
        <v>12</v>
      </c>
      <c r="E423" s="161">
        <f t="shared" ref="E423:E434" si="4">COUNTIF($B$9:$B$133,B423)</f>
        <v>18</v>
      </c>
    </row>
    <row r="424" spans="1:8" hidden="1" x14ac:dyDescent="0.3">
      <c r="B424" s="161">
        <v>2</v>
      </c>
      <c r="C424" s="161">
        <f t="shared" si="2"/>
        <v>26</v>
      </c>
      <c r="D424" s="161">
        <f t="shared" si="3"/>
        <v>23</v>
      </c>
      <c r="E424" s="161">
        <f t="shared" si="4"/>
        <v>19</v>
      </c>
    </row>
    <row r="425" spans="1:8" hidden="1" x14ac:dyDescent="0.3">
      <c r="B425" s="161">
        <v>3</v>
      </c>
      <c r="C425" s="161">
        <f t="shared" si="2"/>
        <v>10</v>
      </c>
      <c r="D425" s="161">
        <f t="shared" si="3"/>
        <v>8</v>
      </c>
      <c r="E425" s="161">
        <f t="shared" si="4"/>
        <v>13</v>
      </c>
    </row>
    <row r="426" spans="1:8" hidden="1" x14ac:dyDescent="0.3">
      <c r="B426" s="161">
        <v>4</v>
      </c>
      <c r="C426" s="161">
        <f t="shared" si="2"/>
        <v>29</v>
      </c>
      <c r="D426" s="161">
        <f t="shared" si="3"/>
        <v>33</v>
      </c>
      <c r="E426" s="161">
        <f t="shared" si="4"/>
        <v>21</v>
      </c>
    </row>
    <row r="427" spans="1:8" hidden="1" x14ac:dyDescent="0.3">
      <c r="B427" s="161">
        <v>5</v>
      </c>
      <c r="C427" s="161">
        <f t="shared" si="2"/>
        <v>21</v>
      </c>
      <c r="D427" s="161">
        <f t="shared" si="3"/>
        <v>19</v>
      </c>
      <c r="E427" s="161">
        <f t="shared" si="4"/>
        <v>20</v>
      </c>
    </row>
    <row r="428" spans="1:8" hidden="1" x14ac:dyDescent="0.3">
      <c r="B428" s="161">
        <v>6</v>
      </c>
      <c r="C428" s="161">
        <f t="shared" si="2"/>
        <v>14</v>
      </c>
      <c r="D428" s="161">
        <f t="shared" si="3"/>
        <v>12</v>
      </c>
      <c r="E428" s="161">
        <f t="shared" si="4"/>
        <v>13</v>
      </c>
    </row>
    <row r="429" spans="1:8" hidden="1" x14ac:dyDescent="0.3">
      <c r="B429" s="161">
        <v>7</v>
      </c>
      <c r="C429" s="161">
        <f t="shared" si="2"/>
        <v>7</v>
      </c>
      <c r="D429" s="161">
        <f t="shared" si="3"/>
        <v>5</v>
      </c>
      <c r="E429" s="161">
        <f t="shared" si="4"/>
        <v>4</v>
      </c>
    </row>
    <row r="430" spans="1:8" hidden="1" x14ac:dyDescent="0.3">
      <c r="B430" s="161">
        <v>8</v>
      </c>
      <c r="C430" s="161">
        <f t="shared" si="2"/>
        <v>12</v>
      </c>
      <c r="D430" s="161">
        <f t="shared" si="3"/>
        <v>11</v>
      </c>
      <c r="E430" s="161">
        <f t="shared" si="4"/>
        <v>10</v>
      </c>
    </row>
    <row r="431" spans="1:8" hidden="1" x14ac:dyDescent="0.3">
      <c r="B431" s="161">
        <v>9</v>
      </c>
      <c r="C431" s="161">
        <f t="shared" si="2"/>
        <v>2</v>
      </c>
      <c r="D431" s="161">
        <f t="shared" si="3"/>
        <v>2</v>
      </c>
      <c r="E431" s="161">
        <f t="shared" si="4"/>
        <v>3</v>
      </c>
    </row>
    <row r="432" spans="1:8" hidden="1" x14ac:dyDescent="0.3">
      <c r="B432" s="161">
        <v>10</v>
      </c>
      <c r="C432" s="161">
        <f t="shared" si="2"/>
        <v>1</v>
      </c>
      <c r="D432" s="161">
        <f t="shared" si="3"/>
        <v>1</v>
      </c>
      <c r="E432" s="161">
        <f t="shared" si="4"/>
        <v>0</v>
      </c>
    </row>
    <row r="433" spans="1:13" hidden="1" x14ac:dyDescent="0.3">
      <c r="B433" s="161">
        <v>16</v>
      </c>
      <c r="C433" s="161">
        <f t="shared" si="2"/>
        <v>1</v>
      </c>
      <c r="D433" s="161">
        <f t="shared" si="3"/>
        <v>0</v>
      </c>
      <c r="E433" s="161">
        <f t="shared" si="4"/>
        <v>1</v>
      </c>
    </row>
    <row r="434" spans="1:13" hidden="1" x14ac:dyDescent="0.3">
      <c r="B434" s="161">
        <v>30</v>
      </c>
      <c r="C434" s="161">
        <f t="shared" si="2"/>
        <v>1</v>
      </c>
      <c r="D434" s="161">
        <f t="shared" si="3"/>
        <v>1</v>
      </c>
      <c r="E434" s="161">
        <f t="shared" si="4"/>
        <v>1</v>
      </c>
    </row>
    <row r="435" spans="1:13" hidden="1" x14ac:dyDescent="0.3"/>
    <row r="437" spans="1:13" x14ac:dyDescent="0.3">
      <c r="A437" s="268" t="s">
        <v>217</v>
      </c>
      <c r="B437" s="269"/>
      <c r="C437" s="269"/>
      <c r="D437" s="269"/>
      <c r="E437" s="269"/>
      <c r="F437" s="269"/>
      <c r="G437" s="269"/>
      <c r="H437" s="270"/>
    </row>
    <row r="438" spans="1:13" x14ac:dyDescent="0.3">
      <c r="A438" s="268" t="s">
        <v>211</v>
      </c>
      <c r="B438" s="269"/>
      <c r="C438" s="269"/>
      <c r="D438" s="269"/>
      <c r="E438" s="269"/>
      <c r="F438" s="269"/>
      <c r="G438" s="269"/>
      <c r="H438" s="270"/>
    </row>
    <row r="439" spans="1:13" ht="26.4" x14ac:dyDescent="0.3">
      <c r="A439" s="160" t="s">
        <v>1</v>
      </c>
      <c r="B439" s="160" t="s">
        <v>210</v>
      </c>
      <c r="C439" s="271" t="s">
        <v>212</v>
      </c>
      <c r="D439" s="271"/>
      <c r="E439" s="160" t="s">
        <v>213</v>
      </c>
      <c r="F439" s="160" t="s">
        <v>214</v>
      </c>
      <c r="G439" s="160" t="s">
        <v>215</v>
      </c>
      <c r="H439" s="160" t="s">
        <v>216</v>
      </c>
    </row>
    <row r="440" spans="1:13" x14ac:dyDescent="0.3">
      <c r="A440" s="163" t="s">
        <v>221</v>
      </c>
      <c r="B440" s="160">
        <v>1</v>
      </c>
      <c r="C440" s="267">
        <v>3</v>
      </c>
      <c r="D440" s="267"/>
      <c r="E440" s="162">
        <v>3</v>
      </c>
      <c r="F440" s="160">
        <v>37</v>
      </c>
      <c r="G440" s="162">
        <f>B440*F440</f>
        <v>37</v>
      </c>
      <c r="H440" s="160">
        <f>G440/5</f>
        <v>7.4</v>
      </c>
      <c r="I440" s="161">
        <v>18</v>
      </c>
      <c r="J440" s="161">
        <f>F440-I440</f>
        <v>19</v>
      </c>
    </row>
    <row r="441" spans="1:13" x14ac:dyDescent="0.3">
      <c r="A441" s="163" t="s">
        <v>222</v>
      </c>
      <c r="B441" s="160">
        <v>2</v>
      </c>
      <c r="C441" s="267">
        <v>3</v>
      </c>
      <c r="D441" s="267"/>
      <c r="E441" s="162">
        <v>3</v>
      </c>
      <c r="F441" s="160">
        <v>60</v>
      </c>
      <c r="G441" s="162">
        <f t="shared" ref="G441:G442" si="5">B441*F441</f>
        <v>120</v>
      </c>
      <c r="H441" s="160">
        <f t="shared" ref="H441:H442" si="6">G441/5</f>
        <v>24</v>
      </c>
      <c r="I441" s="161">
        <v>19</v>
      </c>
      <c r="J441" s="161">
        <f t="shared" ref="J441:J442" si="7">F441-I441</f>
        <v>41</v>
      </c>
    </row>
    <row r="442" spans="1:13" x14ac:dyDescent="0.3">
      <c r="A442" s="163" t="s">
        <v>223</v>
      </c>
      <c r="B442" s="160">
        <v>3</v>
      </c>
      <c r="C442" s="267">
        <v>3</v>
      </c>
      <c r="D442" s="267"/>
      <c r="E442" s="162">
        <v>3</v>
      </c>
      <c r="F442" s="160">
        <v>127</v>
      </c>
      <c r="G442" s="162">
        <f t="shared" si="5"/>
        <v>381</v>
      </c>
      <c r="H442" s="160">
        <f t="shared" si="6"/>
        <v>76.2</v>
      </c>
      <c r="I442" s="161">
        <v>13</v>
      </c>
      <c r="J442" s="161">
        <f t="shared" si="7"/>
        <v>114</v>
      </c>
    </row>
    <row r="443" spans="1:13" ht="26.4" x14ac:dyDescent="0.3">
      <c r="A443" s="163" t="s">
        <v>251</v>
      </c>
      <c r="B443" s="163"/>
      <c r="C443" s="266"/>
      <c r="D443" s="266"/>
      <c r="E443" s="163"/>
      <c r="F443" s="163">
        <f>SUM(F440:F442)</f>
        <v>224</v>
      </c>
      <c r="G443" s="164">
        <f>SUM(G440:G442)</f>
        <v>538</v>
      </c>
      <c r="H443" s="164">
        <f>SUM(H440:H442)</f>
        <v>107.6</v>
      </c>
      <c r="K443" s="161">
        <v>123</v>
      </c>
      <c r="L443" s="161">
        <v>538</v>
      </c>
      <c r="M443" s="161">
        <v>107.6</v>
      </c>
    </row>
    <row r="444" spans="1:13" x14ac:dyDescent="0.3">
      <c r="A444" s="170"/>
      <c r="B444" s="171"/>
      <c r="C444" s="171"/>
      <c r="D444" s="171"/>
      <c r="E444" s="171"/>
      <c r="F444" s="171"/>
      <c r="G444" s="172"/>
      <c r="H444" s="173"/>
    </row>
    <row r="446" spans="1:13" x14ac:dyDescent="0.3">
      <c r="A446" s="268" t="s">
        <v>220</v>
      </c>
      <c r="B446" s="269"/>
      <c r="C446" s="269"/>
      <c r="D446" s="269"/>
      <c r="E446" s="269"/>
      <c r="F446" s="269"/>
      <c r="G446" s="269"/>
      <c r="H446" s="270"/>
    </row>
    <row r="447" spans="1:13" x14ac:dyDescent="0.3">
      <c r="A447" s="268" t="s">
        <v>211</v>
      </c>
      <c r="B447" s="269"/>
      <c r="C447" s="269"/>
      <c r="D447" s="269"/>
      <c r="E447" s="269"/>
      <c r="F447" s="269"/>
      <c r="G447" s="269"/>
      <c r="H447" s="270"/>
    </row>
    <row r="448" spans="1:13" ht="26.4" x14ac:dyDescent="0.3">
      <c r="A448" s="160" t="s">
        <v>1</v>
      </c>
      <c r="B448" s="160" t="s">
        <v>210</v>
      </c>
      <c r="C448" s="271" t="s">
        <v>212</v>
      </c>
      <c r="D448" s="271"/>
      <c r="E448" s="160" t="s">
        <v>213</v>
      </c>
      <c r="F448" s="160" t="s">
        <v>214</v>
      </c>
      <c r="G448" s="160" t="s">
        <v>215</v>
      </c>
      <c r="H448" s="160" t="s">
        <v>216</v>
      </c>
    </row>
    <row r="449" spans="1:13" x14ac:dyDescent="0.3">
      <c r="A449" s="163" t="s">
        <v>221</v>
      </c>
      <c r="B449" s="160">
        <v>1</v>
      </c>
      <c r="C449" s="267">
        <v>3</v>
      </c>
      <c r="D449" s="267"/>
      <c r="E449" s="162">
        <v>3</v>
      </c>
      <c r="F449" s="160">
        <v>39</v>
      </c>
      <c r="G449" s="162">
        <f>B449*F449</f>
        <v>39</v>
      </c>
      <c r="H449" s="160">
        <f>G449/5</f>
        <v>7.8</v>
      </c>
      <c r="I449" s="161">
        <v>12</v>
      </c>
      <c r="J449" s="161">
        <f>F449-I449</f>
        <v>27</v>
      </c>
    </row>
    <row r="450" spans="1:13" x14ac:dyDescent="0.3">
      <c r="A450" s="163" t="s">
        <v>222</v>
      </c>
      <c r="B450" s="160">
        <v>2</v>
      </c>
      <c r="C450" s="267">
        <v>3</v>
      </c>
      <c r="D450" s="267"/>
      <c r="E450" s="162">
        <v>3</v>
      </c>
      <c r="F450" s="160">
        <v>74</v>
      </c>
      <c r="G450" s="162">
        <f t="shared" ref="G450:G451" si="8">B450*F450</f>
        <v>148</v>
      </c>
      <c r="H450" s="160">
        <f t="shared" ref="H450:H451" si="9">G450/5</f>
        <v>29.6</v>
      </c>
      <c r="I450" s="161">
        <v>23</v>
      </c>
      <c r="J450" s="161">
        <f t="shared" ref="J450:J451" si="10">F450-I450</f>
        <v>51</v>
      </c>
    </row>
    <row r="451" spans="1:13" x14ac:dyDescent="0.3">
      <c r="A451" s="163" t="s">
        <v>223</v>
      </c>
      <c r="B451" s="160">
        <v>3</v>
      </c>
      <c r="C451" s="267">
        <v>3</v>
      </c>
      <c r="D451" s="267"/>
      <c r="E451" s="162">
        <v>3</v>
      </c>
      <c r="F451" s="160">
        <v>125</v>
      </c>
      <c r="G451" s="162">
        <f t="shared" si="8"/>
        <v>375</v>
      </c>
      <c r="H451" s="160">
        <f t="shared" si="9"/>
        <v>75</v>
      </c>
      <c r="I451" s="161">
        <v>8</v>
      </c>
      <c r="J451" s="161">
        <f t="shared" si="10"/>
        <v>117</v>
      </c>
    </row>
    <row r="452" spans="1:13" ht="26.4" x14ac:dyDescent="0.3">
      <c r="A452" s="163" t="s">
        <v>252</v>
      </c>
      <c r="B452" s="163"/>
      <c r="C452" s="266"/>
      <c r="D452" s="266"/>
      <c r="E452" s="163"/>
      <c r="F452" s="163">
        <f>SUM(F449:F451)</f>
        <v>238</v>
      </c>
      <c r="G452" s="164">
        <f>SUM(G449:G451)</f>
        <v>562</v>
      </c>
      <c r="H452" s="164">
        <f>SUM(H449:H451)</f>
        <v>112.4</v>
      </c>
      <c r="K452" s="161">
        <v>127</v>
      </c>
      <c r="L452" s="161">
        <v>562</v>
      </c>
      <c r="M452" s="161">
        <v>112.4</v>
      </c>
    </row>
    <row r="454" spans="1:13" x14ac:dyDescent="0.3">
      <c r="A454" s="268" t="s">
        <v>219</v>
      </c>
      <c r="B454" s="269"/>
      <c r="C454" s="269"/>
      <c r="D454" s="269"/>
      <c r="E454" s="269"/>
      <c r="F454" s="269"/>
      <c r="G454" s="269"/>
      <c r="H454" s="270"/>
    </row>
    <row r="455" spans="1:13" x14ac:dyDescent="0.3">
      <c r="A455" s="268" t="s">
        <v>211</v>
      </c>
      <c r="B455" s="269"/>
      <c r="C455" s="269"/>
      <c r="D455" s="269"/>
      <c r="E455" s="269"/>
      <c r="F455" s="269"/>
      <c r="G455" s="269"/>
      <c r="H455" s="270"/>
    </row>
    <row r="456" spans="1:13" ht="26.4" x14ac:dyDescent="0.3">
      <c r="A456" s="160" t="s">
        <v>1</v>
      </c>
      <c r="B456" s="160" t="s">
        <v>210</v>
      </c>
      <c r="C456" s="271" t="s">
        <v>212</v>
      </c>
      <c r="D456" s="271"/>
      <c r="E456" s="160" t="s">
        <v>213</v>
      </c>
      <c r="F456" s="160" t="s">
        <v>214</v>
      </c>
      <c r="G456" s="160" t="s">
        <v>215</v>
      </c>
      <c r="H456" s="160" t="s">
        <v>216</v>
      </c>
    </row>
    <row r="457" spans="1:13" x14ac:dyDescent="0.3">
      <c r="A457" s="163" t="s">
        <v>221</v>
      </c>
      <c r="B457" s="160">
        <v>1</v>
      </c>
      <c r="C457" s="267">
        <v>3</v>
      </c>
      <c r="D457" s="267"/>
      <c r="E457" s="162">
        <v>3</v>
      </c>
      <c r="F457" s="160">
        <v>47</v>
      </c>
      <c r="G457" s="162">
        <f>B457*F457</f>
        <v>47</v>
      </c>
      <c r="H457" s="160">
        <f>G457/5</f>
        <v>9.4</v>
      </c>
      <c r="I457" s="161">
        <v>13</v>
      </c>
      <c r="J457" s="161">
        <f>F457-I457</f>
        <v>34</v>
      </c>
    </row>
    <row r="458" spans="1:13" x14ac:dyDescent="0.3">
      <c r="A458" s="163" t="s">
        <v>222</v>
      </c>
      <c r="B458" s="160">
        <v>2</v>
      </c>
      <c r="C458" s="267">
        <v>3</v>
      </c>
      <c r="D458" s="267"/>
      <c r="E458" s="162">
        <v>3</v>
      </c>
      <c r="F458" s="160">
        <v>82</v>
      </c>
      <c r="G458" s="162">
        <f t="shared" ref="G458:G459" si="11">B458*F458</f>
        <v>164</v>
      </c>
      <c r="H458" s="160">
        <f t="shared" ref="H458:H459" si="12">G458/5</f>
        <v>32.799999999999997</v>
      </c>
      <c r="I458" s="161">
        <v>26</v>
      </c>
      <c r="J458" s="161">
        <f t="shared" ref="J458:J459" si="13">F458-I458</f>
        <v>56</v>
      </c>
    </row>
    <row r="459" spans="1:13" x14ac:dyDescent="0.3">
      <c r="A459" s="163" t="s">
        <v>223</v>
      </c>
      <c r="B459" s="160">
        <v>3</v>
      </c>
      <c r="C459" s="267">
        <v>3</v>
      </c>
      <c r="D459" s="267"/>
      <c r="E459" s="162">
        <v>3</v>
      </c>
      <c r="F459" s="160">
        <v>131</v>
      </c>
      <c r="G459" s="162">
        <f t="shared" si="11"/>
        <v>393</v>
      </c>
      <c r="H459" s="160">
        <f t="shared" si="12"/>
        <v>78.599999999999994</v>
      </c>
      <c r="I459" s="161">
        <v>10</v>
      </c>
      <c r="J459" s="161">
        <f t="shared" si="13"/>
        <v>121</v>
      </c>
    </row>
    <row r="460" spans="1:13" ht="26.4" x14ac:dyDescent="0.3">
      <c r="A460" s="163" t="s">
        <v>250</v>
      </c>
      <c r="B460" s="163"/>
      <c r="C460" s="266"/>
      <c r="D460" s="266"/>
      <c r="E460" s="163"/>
      <c r="F460" s="165">
        <f>SUM(F457:F459)</f>
        <v>260</v>
      </c>
      <c r="G460" s="164">
        <f>SUM(G457:G459)</f>
        <v>604</v>
      </c>
      <c r="H460" s="164">
        <f>SUM(H457:H459)</f>
        <v>120.79999999999998</v>
      </c>
      <c r="K460" s="161">
        <v>137</v>
      </c>
      <c r="L460" s="161">
        <v>619</v>
      </c>
      <c r="M460" s="161">
        <v>123.8</v>
      </c>
    </row>
  </sheetData>
  <mergeCells count="436">
    <mergeCell ref="A7:H7"/>
    <mergeCell ref="A6:H6"/>
    <mergeCell ref="C8:D8"/>
    <mergeCell ref="C9:D9"/>
    <mergeCell ref="C10:D10"/>
    <mergeCell ref="C11:D11"/>
    <mergeCell ref="C24:D24"/>
    <mergeCell ref="C25:D25"/>
    <mergeCell ref="C26:D26"/>
    <mergeCell ref="C18:D18"/>
    <mergeCell ref="C19:D19"/>
    <mergeCell ref="C20:D20"/>
    <mergeCell ref="C12:D12"/>
    <mergeCell ref="C13:D13"/>
    <mergeCell ref="C14:D14"/>
    <mergeCell ref="C15:D15"/>
    <mergeCell ref="C16:D16"/>
    <mergeCell ref="C17:D17"/>
    <mergeCell ref="C27:D27"/>
    <mergeCell ref="C28:D28"/>
    <mergeCell ref="C29:D29"/>
    <mergeCell ref="C21:D21"/>
    <mergeCell ref="C22:D22"/>
    <mergeCell ref="C23:D23"/>
    <mergeCell ref="C36:D36"/>
    <mergeCell ref="C37:D37"/>
    <mergeCell ref="C38:D38"/>
    <mergeCell ref="C39:D39"/>
    <mergeCell ref="C40:D40"/>
    <mergeCell ref="C41:D41"/>
    <mergeCell ref="C30:D30"/>
    <mergeCell ref="C31:D31"/>
    <mergeCell ref="C32:D32"/>
    <mergeCell ref="C33:D33"/>
    <mergeCell ref="C34:D34"/>
    <mergeCell ref="C35:D35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60:D60"/>
    <mergeCell ref="C61:D61"/>
    <mergeCell ref="C62:D62"/>
    <mergeCell ref="C63:D63"/>
    <mergeCell ref="C64:D64"/>
    <mergeCell ref="C65:D65"/>
    <mergeCell ref="C54:D54"/>
    <mergeCell ref="C55:D55"/>
    <mergeCell ref="C56:D56"/>
    <mergeCell ref="C57:D57"/>
    <mergeCell ref="C58:D58"/>
    <mergeCell ref="C59:D59"/>
    <mergeCell ref="C72:D72"/>
    <mergeCell ref="C73:D73"/>
    <mergeCell ref="C74:D74"/>
    <mergeCell ref="C75:D75"/>
    <mergeCell ref="C76:D76"/>
    <mergeCell ref="C77:D77"/>
    <mergeCell ref="C66:D66"/>
    <mergeCell ref="C67:D67"/>
    <mergeCell ref="C68:D68"/>
    <mergeCell ref="C69:D69"/>
    <mergeCell ref="C70:D70"/>
    <mergeCell ref="C71:D71"/>
    <mergeCell ref="C84:D84"/>
    <mergeCell ref="C85:D85"/>
    <mergeCell ref="C86:D86"/>
    <mergeCell ref="C87:D87"/>
    <mergeCell ref="C88:D88"/>
    <mergeCell ref="C89:D89"/>
    <mergeCell ref="C78:D78"/>
    <mergeCell ref="C79:D79"/>
    <mergeCell ref="C80:D80"/>
    <mergeCell ref="C81:D81"/>
    <mergeCell ref="C82:D82"/>
    <mergeCell ref="C83:D83"/>
    <mergeCell ref="C96:D96"/>
    <mergeCell ref="C97:D97"/>
    <mergeCell ref="C98:D98"/>
    <mergeCell ref="C99:D99"/>
    <mergeCell ref="C100:D100"/>
    <mergeCell ref="C101:D101"/>
    <mergeCell ref="C90:D90"/>
    <mergeCell ref="C91:D91"/>
    <mergeCell ref="C92:D92"/>
    <mergeCell ref="C93:D93"/>
    <mergeCell ref="C94:D94"/>
    <mergeCell ref="C95:D95"/>
    <mergeCell ref="C108:D108"/>
    <mergeCell ref="C109:D109"/>
    <mergeCell ref="C110:D110"/>
    <mergeCell ref="C111:D111"/>
    <mergeCell ref="C112:D112"/>
    <mergeCell ref="C113:D113"/>
    <mergeCell ref="C102:D102"/>
    <mergeCell ref="C103:D103"/>
    <mergeCell ref="C104:D104"/>
    <mergeCell ref="C105:D105"/>
    <mergeCell ref="C106:D106"/>
    <mergeCell ref="C107:D107"/>
    <mergeCell ref="C120:D120"/>
    <mergeCell ref="C121:D121"/>
    <mergeCell ref="C122:D122"/>
    <mergeCell ref="C123:D123"/>
    <mergeCell ref="C124:D124"/>
    <mergeCell ref="C125:D125"/>
    <mergeCell ref="C114:D114"/>
    <mergeCell ref="C115:D115"/>
    <mergeCell ref="C116:D116"/>
    <mergeCell ref="C117:D117"/>
    <mergeCell ref="C118:D118"/>
    <mergeCell ref="C119:D119"/>
    <mergeCell ref="A137:H137"/>
    <mergeCell ref="A138:H138"/>
    <mergeCell ref="C139:D139"/>
    <mergeCell ref="C132:D132"/>
    <mergeCell ref="C133:D133"/>
    <mergeCell ref="C126:D126"/>
    <mergeCell ref="C127:D127"/>
    <mergeCell ref="C128:D128"/>
    <mergeCell ref="C129:D129"/>
    <mergeCell ref="C130:D130"/>
    <mergeCell ref="C131:D131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C158:D158"/>
    <mergeCell ref="C159:D159"/>
    <mergeCell ref="C160:D160"/>
    <mergeCell ref="C161:D161"/>
    <mergeCell ref="C162:D162"/>
    <mergeCell ref="C163:D163"/>
    <mergeCell ref="C152:D152"/>
    <mergeCell ref="C153:D153"/>
    <mergeCell ref="C154:D154"/>
    <mergeCell ref="C155:D155"/>
    <mergeCell ref="C156:D156"/>
    <mergeCell ref="C157:D157"/>
    <mergeCell ref="C170:D170"/>
    <mergeCell ref="C171:D171"/>
    <mergeCell ref="C172:D172"/>
    <mergeCell ref="C173:D173"/>
    <mergeCell ref="C174:D174"/>
    <mergeCell ref="C175:D175"/>
    <mergeCell ref="C164:D164"/>
    <mergeCell ref="C165:D165"/>
    <mergeCell ref="C166:D166"/>
    <mergeCell ref="C167:D167"/>
    <mergeCell ref="C168:D168"/>
    <mergeCell ref="C169:D169"/>
    <mergeCell ref="C182:D182"/>
    <mergeCell ref="C183:D183"/>
    <mergeCell ref="C184:D184"/>
    <mergeCell ref="C185:D185"/>
    <mergeCell ref="C186:D186"/>
    <mergeCell ref="C187:D187"/>
    <mergeCell ref="C176:D176"/>
    <mergeCell ref="C177:D177"/>
    <mergeCell ref="C178:D178"/>
    <mergeCell ref="C179:D179"/>
    <mergeCell ref="C180:D180"/>
    <mergeCell ref="C181:D181"/>
    <mergeCell ref="C194:D194"/>
    <mergeCell ref="C195:D195"/>
    <mergeCell ref="C196:D196"/>
    <mergeCell ref="C197:D197"/>
    <mergeCell ref="C198:D198"/>
    <mergeCell ref="C199:D199"/>
    <mergeCell ref="C188:D188"/>
    <mergeCell ref="C189:D189"/>
    <mergeCell ref="C190:D190"/>
    <mergeCell ref="C191:D191"/>
    <mergeCell ref="C192:D192"/>
    <mergeCell ref="C193:D193"/>
    <mergeCell ref="C206:D206"/>
    <mergeCell ref="C207:D207"/>
    <mergeCell ref="C208:D208"/>
    <mergeCell ref="C209:D209"/>
    <mergeCell ref="C210:D210"/>
    <mergeCell ref="C211:D211"/>
    <mergeCell ref="C200:D200"/>
    <mergeCell ref="C201:D201"/>
    <mergeCell ref="C202:D202"/>
    <mergeCell ref="C203:D203"/>
    <mergeCell ref="C204:D204"/>
    <mergeCell ref="C205:D205"/>
    <mergeCell ref="C218:D218"/>
    <mergeCell ref="C219:D219"/>
    <mergeCell ref="C220:D220"/>
    <mergeCell ref="C221:D221"/>
    <mergeCell ref="C222:D222"/>
    <mergeCell ref="C223:D223"/>
    <mergeCell ref="C212:D212"/>
    <mergeCell ref="C213:D213"/>
    <mergeCell ref="C214:D214"/>
    <mergeCell ref="C215:D215"/>
    <mergeCell ref="C216:D216"/>
    <mergeCell ref="C217:D217"/>
    <mergeCell ref="C230:D230"/>
    <mergeCell ref="C231:D231"/>
    <mergeCell ref="C232:D232"/>
    <mergeCell ref="C233:D233"/>
    <mergeCell ref="C234:D234"/>
    <mergeCell ref="C235:D235"/>
    <mergeCell ref="C224:D224"/>
    <mergeCell ref="C225:D225"/>
    <mergeCell ref="C226:D226"/>
    <mergeCell ref="C227:D227"/>
    <mergeCell ref="C228:D228"/>
    <mergeCell ref="C229:D229"/>
    <mergeCell ref="C242:D242"/>
    <mergeCell ref="C243:D243"/>
    <mergeCell ref="C244:D244"/>
    <mergeCell ref="C245:D245"/>
    <mergeCell ref="C246:D246"/>
    <mergeCell ref="C247:D247"/>
    <mergeCell ref="C236:D236"/>
    <mergeCell ref="C237:D237"/>
    <mergeCell ref="C238:D238"/>
    <mergeCell ref="C239:D239"/>
    <mergeCell ref="C240:D240"/>
    <mergeCell ref="C241:D241"/>
    <mergeCell ref="C254:D254"/>
    <mergeCell ref="C255:D255"/>
    <mergeCell ref="C256:D256"/>
    <mergeCell ref="C257:D257"/>
    <mergeCell ref="C258:D258"/>
    <mergeCell ref="C259:D259"/>
    <mergeCell ref="C248:D248"/>
    <mergeCell ref="C249:D249"/>
    <mergeCell ref="C250:D250"/>
    <mergeCell ref="C251:D251"/>
    <mergeCell ref="C252:D252"/>
    <mergeCell ref="C253:D253"/>
    <mergeCell ref="C266:D266"/>
    <mergeCell ref="C267:D267"/>
    <mergeCell ref="C268:D268"/>
    <mergeCell ref="C269:D269"/>
    <mergeCell ref="C270:D270"/>
    <mergeCell ref="C271:D271"/>
    <mergeCell ref="C260:D260"/>
    <mergeCell ref="C261:D261"/>
    <mergeCell ref="C262:D262"/>
    <mergeCell ref="C263:D263"/>
    <mergeCell ref="C264:D264"/>
    <mergeCell ref="C265:D265"/>
    <mergeCell ref="C283:D283"/>
    <mergeCell ref="C284:D284"/>
    <mergeCell ref="C285:D285"/>
    <mergeCell ref="C286:D286"/>
    <mergeCell ref="C287:D287"/>
    <mergeCell ref="C288:D288"/>
    <mergeCell ref="A277:H277"/>
    <mergeCell ref="A278:H278"/>
    <mergeCell ref="C279:D279"/>
    <mergeCell ref="C280:D280"/>
    <mergeCell ref="C281:D281"/>
    <mergeCell ref="C282:D282"/>
    <mergeCell ref="C295:D295"/>
    <mergeCell ref="C296:D296"/>
    <mergeCell ref="C297:D297"/>
    <mergeCell ref="C298:D298"/>
    <mergeCell ref="C299:D299"/>
    <mergeCell ref="C300:D300"/>
    <mergeCell ref="C289:D289"/>
    <mergeCell ref="C290:D290"/>
    <mergeCell ref="C291:D291"/>
    <mergeCell ref="C292:D292"/>
    <mergeCell ref="C293:D293"/>
    <mergeCell ref="C294:D294"/>
    <mergeCell ref="C307:D307"/>
    <mergeCell ref="C308:D308"/>
    <mergeCell ref="C309:D309"/>
    <mergeCell ref="C310:D310"/>
    <mergeCell ref="C311:D311"/>
    <mergeCell ref="C312:D312"/>
    <mergeCell ref="C301:D301"/>
    <mergeCell ref="C302:D302"/>
    <mergeCell ref="C303:D303"/>
    <mergeCell ref="C304:D304"/>
    <mergeCell ref="C305:D305"/>
    <mergeCell ref="C306:D306"/>
    <mergeCell ref="C319:D319"/>
    <mergeCell ref="C320:D320"/>
    <mergeCell ref="C321:D321"/>
    <mergeCell ref="C322:D322"/>
    <mergeCell ref="C323:D323"/>
    <mergeCell ref="C324:D324"/>
    <mergeCell ref="C313:D313"/>
    <mergeCell ref="C314:D314"/>
    <mergeCell ref="C315:D315"/>
    <mergeCell ref="C316:D316"/>
    <mergeCell ref="C317:D317"/>
    <mergeCell ref="C318:D318"/>
    <mergeCell ref="C331:D331"/>
    <mergeCell ref="C332:D332"/>
    <mergeCell ref="C333:D333"/>
    <mergeCell ref="C334:D334"/>
    <mergeCell ref="C335:D335"/>
    <mergeCell ref="C336:D336"/>
    <mergeCell ref="C325:D325"/>
    <mergeCell ref="C326:D326"/>
    <mergeCell ref="C327:D327"/>
    <mergeCell ref="C328:D328"/>
    <mergeCell ref="C329:D329"/>
    <mergeCell ref="C330:D330"/>
    <mergeCell ref="C343:D343"/>
    <mergeCell ref="C344:D344"/>
    <mergeCell ref="C345:D345"/>
    <mergeCell ref="C346:D346"/>
    <mergeCell ref="C347:D347"/>
    <mergeCell ref="C348:D348"/>
    <mergeCell ref="C337:D337"/>
    <mergeCell ref="C338:D338"/>
    <mergeCell ref="C339:D339"/>
    <mergeCell ref="C340:D340"/>
    <mergeCell ref="C341:D341"/>
    <mergeCell ref="C342:D342"/>
    <mergeCell ref="C355:D355"/>
    <mergeCell ref="C356:D356"/>
    <mergeCell ref="C357:D357"/>
    <mergeCell ref="C358:D358"/>
    <mergeCell ref="C359:D359"/>
    <mergeCell ref="C360:D360"/>
    <mergeCell ref="C349:D349"/>
    <mergeCell ref="C350:D350"/>
    <mergeCell ref="C351:D351"/>
    <mergeCell ref="C352:D352"/>
    <mergeCell ref="C353:D353"/>
    <mergeCell ref="C354:D354"/>
    <mergeCell ref="C367:D367"/>
    <mergeCell ref="C368:D368"/>
    <mergeCell ref="C369:D369"/>
    <mergeCell ref="C370:D370"/>
    <mergeCell ref="C371:D371"/>
    <mergeCell ref="C372:D372"/>
    <mergeCell ref="C361:D361"/>
    <mergeCell ref="C362:D362"/>
    <mergeCell ref="C363:D363"/>
    <mergeCell ref="C364:D364"/>
    <mergeCell ref="C365:D365"/>
    <mergeCell ref="C366:D366"/>
    <mergeCell ref="C379:D379"/>
    <mergeCell ref="C380:D380"/>
    <mergeCell ref="C381:D381"/>
    <mergeCell ref="C382:D382"/>
    <mergeCell ref="C383:D383"/>
    <mergeCell ref="C384:D384"/>
    <mergeCell ref="C373:D373"/>
    <mergeCell ref="C374:D374"/>
    <mergeCell ref="C375:D375"/>
    <mergeCell ref="C376:D376"/>
    <mergeCell ref="C377:D377"/>
    <mergeCell ref="C378:D378"/>
    <mergeCell ref="C391:D391"/>
    <mergeCell ref="C392:D392"/>
    <mergeCell ref="C393:D393"/>
    <mergeCell ref="C394:D394"/>
    <mergeCell ref="C395:D395"/>
    <mergeCell ref="C396:D396"/>
    <mergeCell ref="C385:D385"/>
    <mergeCell ref="C386:D386"/>
    <mergeCell ref="C387:D387"/>
    <mergeCell ref="C388:D388"/>
    <mergeCell ref="C389:D389"/>
    <mergeCell ref="C390:D390"/>
    <mergeCell ref="C406:D406"/>
    <mergeCell ref="C407:D407"/>
    <mergeCell ref="C408:D408"/>
    <mergeCell ref="C397:D397"/>
    <mergeCell ref="C398:D398"/>
    <mergeCell ref="C399:D399"/>
    <mergeCell ref="C400:D400"/>
    <mergeCell ref="C401:D401"/>
    <mergeCell ref="C402:D402"/>
    <mergeCell ref="C460:D460"/>
    <mergeCell ref="C458:D458"/>
    <mergeCell ref="C459:D459"/>
    <mergeCell ref="C420:D420"/>
    <mergeCell ref="C421:D421"/>
    <mergeCell ref="A454:H454"/>
    <mergeCell ref="A455:H455"/>
    <mergeCell ref="C456:D456"/>
    <mergeCell ref="C457:D457"/>
    <mergeCell ref="A437:H437"/>
    <mergeCell ref="C451:D451"/>
    <mergeCell ref="A446:H446"/>
    <mergeCell ref="A447:H447"/>
    <mergeCell ref="C448:D448"/>
    <mergeCell ref="C449:D449"/>
    <mergeCell ref="C450:D450"/>
    <mergeCell ref="C452:D452"/>
    <mergeCell ref="C443:D443"/>
    <mergeCell ref="C441:D441"/>
    <mergeCell ref="C442:D442"/>
    <mergeCell ref="E1:F1"/>
    <mergeCell ref="E2:F2"/>
    <mergeCell ref="E3:F3"/>
    <mergeCell ref="E4:F4"/>
    <mergeCell ref="E5:F5"/>
    <mergeCell ref="D1:D5"/>
    <mergeCell ref="A438:H438"/>
    <mergeCell ref="C439:D439"/>
    <mergeCell ref="C440:D440"/>
    <mergeCell ref="C414:D414"/>
    <mergeCell ref="C415:D415"/>
    <mergeCell ref="C416:D416"/>
    <mergeCell ref="C417:D417"/>
    <mergeCell ref="C418:D418"/>
    <mergeCell ref="C419:D419"/>
    <mergeCell ref="C409:D409"/>
    <mergeCell ref="C410:D410"/>
    <mergeCell ref="C411:D411"/>
    <mergeCell ref="C272:D272"/>
    <mergeCell ref="C412:D412"/>
    <mergeCell ref="C413:D413"/>
    <mergeCell ref="C403:D403"/>
    <mergeCell ref="C404:D404"/>
    <mergeCell ref="C405:D405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A35" sqref="A35:H49"/>
    </sheetView>
  </sheetViews>
  <sheetFormatPr defaultRowHeight="14.4" x14ac:dyDescent="0.3"/>
  <cols>
    <col min="2" max="2" width="6.88671875" customWidth="1"/>
    <col min="4" max="4" width="2.77734375" customWidth="1"/>
    <col min="5" max="5" width="7.77734375" customWidth="1"/>
    <col min="6" max="6" width="7.109375" customWidth="1"/>
    <col min="7" max="7" width="6.77734375" customWidth="1"/>
  </cols>
  <sheetData>
    <row r="1" spans="1:8" x14ac:dyDescent="0.3">
      <c r="A1" s="268" t="s">
        <v>219</v>
      </c>
      <c r="B1" s="269"/>
      <c r="C1" s="269"/>
      <c r="D1" s="269"/>
      <c r="E1" s="269"/>
      <c r="F1" s="269"/>
      <c r="G1" s="269"/>
      <c r="H1" s="270"/>
    </row>
    <row r="2" spans="1:8" x14ac:dyDescent="0.3">
      <c r="A2" s="268" t="s">
        <v>211</v>
      </c>
      <c r="B2" s="269"/>
      <c r="C2" s="269"/>
      <c r="D2" s="269"/>
      <c r="E2" s="269"/>
      <c r="F2" s="269"/>
      <c r="G2" s="269"/>
      <c r="H2" s="270"/>
    </row>
    <row r="3" spans="1:8" ht="26.4" x14ac:dyDescent="0.3">
      <c r="A3" s="160" t="s">
        <v>1</v>
      </c>
      <c r="B3" s="160" t="s">
        <v>210</v>
      </c>
      <c r="C3" s="271" t="s">
        <v>212</v>
      </c>
      <c r="D3" s="271"/>
      <c r="E3" s="160" t="s">
        <v>213</v>
      </c>
      <c r="F3" s="160" t="s">
        <v>214</v>
      </c>
      <c r="G3" s="160" t="s">
        <v>215</v>
      </c>
      <c r="H3" s="160" t="s">
        <v>216</v>
      </c>
    </row>
    <row r="4" spans="1:8" x14ac:dyDescent="0.3">
      <c r="A4" s="163" t="s">
        <v>221</v>
      </c>
      <c r="B4" s="160">
        <v>1</v>
      </c>
      <c r="C4" s="267">
        <v>3</v>
      </c>
      <c r="D4" s="267"/>
      <c r="E4" s="162">
        <v>3</v>
      </c>
      <c r="F4" s="160">
        <v>13</v>
      </c>
      <c r="G4" s="162">
        <f>B4*F4</f>
        <v>13</v>
      </c>
      <c r="H4" s="160">
        <f>G4/5</f>
        <v>2.6</v>
      </c>
    </row>
    <row r="5" spans="1:8" x14ac:dyDescent="0.3">
      <c r="A5" s="163" t="s">
        <v>222</v>
      </c>
      <c r="B5" s="160">
        <v>2</v>
      </c>
      <c r="C5" s="267">
        <v>3</v>
      </c>
      <c r="D5" s="267"/>
      <c r="E5" s="162">
        <v>3</v>
      </c>
      <c r="F5" s="160">
        <v>26</v>
      </c>
      <c r="G5" s="162">
        <f t="shared" ref="G5:G15" si="0">B5*F5</f>
        <v>52</v>
      </c>
      <c r="H5" s="160">
        <f t="shared" ref="H5:H15" si="1">G5/5</f>
        <v>10.4</v>
      </c>
    </row>
    <row r="6" spans="1:8" x14ac:dyDescent="0.3">
      <c r="A6" s="163" t="s">
        <v>223</v>
      </c>
      <c r="B6" s="160">
        <v>3</v>
      </c>
      <c r="C6" s="267">
        <v>3</v>
      </c>
      <c r="D6" s="267"/>
      <c r="E6" s="162">
        <v>3</v>
      </c>
      <c r="F6" s="160">
        <v>10</v>
      </c>
      <c r="G6" s="162">
        <f t="shared" si="0"/>
        <v>30</v>
      </c>
      <c r="H6" s="160">
        <f t="shared" si="1"/>
        <v>6</v>
      </c>
    </row>
    <row r="7" spans="1:8" x14ac:dyDescent="0.3">
      <c r="A7" s="163" t="s">
        <v>224</v>
      </c>
      <c r="B7" s="160">
        <v>4</v>
      </c>
      <c r="C7" s="267">
        <v>3</v>
      </c>
      <c r="D7" s="267"/>
      <c r="E7" s="162">
        <v>3</v>
      </c>
      <c r="F7" s="160">
        <v>29</v>
      </c>
      <c r="G7" s="162">
        <f t="shared" si="0"/>
        <v>116</v>
      </c>
      <c r="H7" s="160">
        <f t="shared" si="1"/>
        <v>23.2</v>
      </c>
    </row>
    <row r="8" spans="1:8" x14ac:dyDescent="0.3">
      <c r="A8" s="163" t="s">
        <v>225</v>
      </c>
      <c r="B8" s="160">
        <v>5</v>
      </c>
      <c r="C8" s="267">
        <v>3</v>
      </c>
      <c r="D8" s="267"/>
      <c r="E8" s="162">
        <v>3</v>
      </c>
      <c r="F8" s="160">
        <v>21</v>
      </c>
      <c r="G8" s="162">
        <f t="shared" si="0"/>
        <v>105</v>
      </c>
      <c r="H8" s="160">
        <f t="shared" si="1"/>
        <v>21</v>
      </c>
    </row>
    <row r="9" spans="1:8" x14ac:dyDescent="0.3">
      <c r="A9" s="163" t="s">
        <v>226</v>
      </c>
      <c r="B9" s="160">
        <v>6</v>
      </c>
      <c r="C9" s="267">
        <v>3</v>
      </c>
      <c r="D9" s="267"/>
      <c r="E9" s="162">
        <v>3</v>
      </c>
      <c r="F9" s="160">
        <v>14</v>
      </c>
      <c r="G9" s="162">
        <f t="shared" si="0"/>
        <v>84</v>
      </c>
      <c r="H9" s="160">
        <f t="shared" si="1"/>
        <v>16.8</v>
      </c>
    </row>
    <row r="10" spans="1:8" x14ac:dyDescent="0.3">
      <c r="A10" s="163" t="s">
        <v>227</v>
      </c>
      <c r="B10" s="160">
        <v>7</v>
      </c>
      <c r="C10" s="267">
        <v>3</v>
      </c>
      <c r="D10" s="267"/>
      <c r="E10" s="162">
        <v>3</v>
      </c>
      <c r="F10" s="160">
        <v>7</v>
      </c>
      <c r="G10" s="162">
        <f t="shared" si="0"/>
        <v>49</v>
      </c>
      <c r="H10" s="160">
        <f t="shared" si="1"/>
        <v>9.8000000000000007</v>
      </c>
    </row>
    <row r="11" spans="1:8" x14ac:dyDescent="0.3">
      <c r="A11" s="163" t="s">
        <v>228</v>
      </c>
      <c r="B11" s="160">
        <v>8</v>
      </c>
      <c r="C11" s="267">
        <v>3</v>
      </c>
      <c r="D11" s="267"/>
      <c r="E11" s="162">
        <v>3</v>
      </c>
      <c r="F11" s="160">
        <v>12</v>
      </c>
      <c r="G11" s="162">
        <f t="shared" si="0"/>
        <v>96</v>
      </c>
      <c r="H11" s="160">
        <f t="shared" si="1"/>
        <v>19.2</v>
      </c>
    </row>
    <row r="12" spans="1:8" x14ac:dyDescent="0.3">
      <c r="A12" s="163" t="s">
        <v>229</v>
      </c>
      <c r="B12" s="160">
        <v>9</v>
      </c>
      <c r="C12" s="267">
        <v>3</v>
      </c>
      <c r="D12" s="267"/>
      <c r="E12" s="162">
        <v>3</v>
      </c>
      <c r="F12" s="160">
        <v>2</v>
      </c>
      <c r="G12" s="162">
        <f t="shared" si="0"/>
        <v>18</v>
      </c>
      <c r="H12" s="160">
        <f t="shared" si="1"/>
        <v>3.6</v>
      </c>
    </row>
    <row r="13" spans="1:8" x14ac:dyDescent="0.3">
      <c r="A13" s="163" t="s">
        <v>230</v>
      </c>
      <c r="B13" s="160">
        <v>10</v>
      </c>
      <c r="C13" s="267">
        <v>3</v>
      </c>
      <c r="D13" s="267"/>
      <c r="E13" s="162">
        <v>3</v>
      </c>
      <c r="F13" s="160">
        <v>1</v>
      </c>
      <c r="G13" s="162">
        <f t="shared" si="0"/>
        <v>10</v>
      </c>
      <c r="H13" s="160">
        <f t="shared" si="1"/>
        <v>2</v>
      </c>
    </row>
    <row r="14" spans="1:8" x14ac:dyDescent="0.3">
      <c r="A14" s="163" t="s">
        <v>231</v>
      </c>
      <c r="B14" s="160">
        <v>16</v>
      </c>
      <c r="C14" s="267">
        <v>3</v>
      </c>
      <c r="D14" s="267"/>
      <c r="E14" s="162">
        <v>3</v>
      </c>
      <c r="F14" s="160">
        <v>1</v>
      </c>
      <c r="G14" s="162">
        <f t="shared" si="0"/>
        <v>16</v>
      </c>
      <c r="H14" s="160">
        <f t="shared" si="1"/>
        <v>3.2</v>
      </c>
    </row>
    <row r="15" spans="1:8" x14ac:dyDescent="0.3">
      <c r="A15" s="163" t="s">
        <v>232</v>
      </c>
      <c r="B15" s="160">
        <v>30</v>
      </c>
      <c r="C15" s="267">
        <v>3</v>
      </c>
      <c r="D15" s="267"/>
      <c r="E15" s="162">
        <v>3</v>
      </c>
      <c r="F15" s="160">
        <v>1</v>
      </c>
      <c r="G15" s="162">
        <f t="shared" si="0"/>
        <v>30</v>
      </c>
      <c r="H15" s="160">
        <f t="shared" si="1"/>
        <v>6</v>
      </c>
    </row>
    <row r="16" spans="1:8" ht="26.4" x14ac:dyDescent="0.3">
      <c r="A16" s="163" t="s">
        <v>233</v>
      </c>
      <c r="B16" s="163"/>
      <c r="C16" s="266"/>
      <c r="D16" s="266"/>
      <c r="E16" s="163"/>
      <c r="F16" s="165">
        <f>SUM(F4:F15)</f>
        <v>137</v>
      </c>
      <c r="G16" s="164">
        <f>SUM(G4:G15)</f>
        <v>619</v>
      </c>
      <c r="H16" s="164">
        <f>SUM(H4:H15)</f>
        <v>123.8</v>
      </c>
    </row>
    <row r="17" spans="1:8" x14ac:dyDescent="0.3">
      <c r="A17" s="161"/>
      <c r="B17" s="161"/>
      <c r="C17" s="161"/>
      <c r="D17" s="161"/>
      <c r="E17" s="161"/>
      <c r="F17" s="161"/>
      <c r="G17" s="161"/>
      <c r="H17" s="161"/>
    </row>
    <row r="18" spans="1:8" x14ac:dyDescent="0.3">
      <c r="A18" s="268" t="s">
        <v>220</v>
      </c>
      <c r="B18" s="269"/>
      <c r="C18" s="269"/>
      <c r="D18" s="269"/>
      <c r="E18" s="269"/>
      <c r="F18" s="269"/>
      <c r="G18" s="269"/>
      <c r="H18" s="270"/>
    </row>
    <row r="19" spans="1:8" x14ac:dyDescent="0.3">
      <c r="A19" s="268" t="s">
        <v>211</v>
      </c>
      <c r="B19" s="269"/>
      <c r="C19" s="269"/>
      <c r="D19" s="269"/>
      <c r="E19" s="269"/>
      <c r="F19" s="269"/>
      <c r="G19" s="269"/>
      <c r="H19" s="270"/>
    </row>
    <row r="20" spans="1:8" ht="26.4" x14ac:dyDescent="0.3">
      <c r="A20" s="160" t="s">
        <v>1</v>
      </c>
      <c r="B20" s="160" t="s">
        <v>210</v>
      </c>
      <c r="C20" s="271" t="s">
        <v>212</v>
      </c>
      <c r="D20" s="271"/>
      <c r="E20" s="160" t="s">
        <v>213</v>
      </c>
      <c r="F20" s="160" t="s">
        <v>214</v>
      </c>
      <c r="G20" s="160" t="s">
        <v>215</v>
      </c>
      <c r="H20" s="160" t="s">
        <v>216</v>
      </c>
    </row>
    <row r="21" spans="1:8" x14ac:dyDescent="0.3">
      <c r="A21" s="163" t="s">
        <v>221</v>
      </c>
      <c r="B21" s="160">
        <v>1</v>
      </c>
      <c r="C21" s="267">
        <v>3</v>
      </c>
      <c r="D21" s="267"/>
      <c r="E21" s="162">
        <v>3</v>
      </c>
      <c r="F21" s="160">
        <v>12</v>
      </c>
      <c r="G21" s="162">
        <f>B21*F21</f>
        <v>12</v>
      </c>
      <c r="H21" s="160">
        <f>G21/5</f>
        <v>2.4</v>
      </c>
    </row>
    <row r="22" spans="1:8" x14ac:dyDescent="0.3">
      <c r="A22" s="163" t="s">
        <v>222</v>
      </c>
      <c r="B22" s="160">
        <v>2</v>
      </c>
      <c r="C22" s="267">
        <v>3</v>
      </c>
      <c r="D22" s="267"/>
      <c r="E22" s="162">
        <v>3</v>
      </c>
      <c r="F22" s="160">
        <v>23</v>
      </c>
      <c r="G22" s="162">
        <f t="shared" ref="G22:G31" si="2">B22*F22</f>
        <v>46</v>
      </c>
      <c r="H22" s="160">
        <f t="shared" ref="H22:H31" si="3">G22/5</f>
        <v>9.1999999999999993</v>
      </c>
    </row>
    <row r="23" spans="1:8" x14ac:dyDescent="0.3">
      <c r="A23" s="163" t="s">
        <v>223</v>
      </c>
      <c r="B23" s="160">
        <v>3</v>
      </c>
      <c r="C23" s="267">
        <v>3</v>
      </c>
      <c r="D23" s="267"/>
      <c r="E23" s="162">
        <v>3</v>
      </c>
      <c r="F23" s="160">
        <v>8</v>
      </c>
      <c r="G23" s="162">
        <f t="shared" si="2"/>
        <v>24</v>
      </c>
      <c r="H23" s="160">
        <f t="shared" si="3"/>
        <v>4.8</v>
      </c>
    </row>
    <row r="24" spans="1:8" x14ac:dyDescent="0.3">
      <c r="A24" s="163" t="s">
        <v>224</v>
      </c>
      <c r="B24" s="160">
        <v>4</v>
      </c>
      <c r="C24" s="267">
        <v>3</v>
      </c>
      <c r="D24" s="267"/>
      <c r="E24" s="162">
        <v>3</v>
      </c>
      <c r="F24" s="160">
        <v>33</v>
      </c>
      <c r="G24" s="162">
        <f t="shared" si="2"/>
        <v>132</v>
      </c>
      <c r="H24" s="160">
        <f t="shared" si="3"/>
        <v>26.4</v>
      </c>
    </row>
    <row r="25" spans="1:8" x14ac:dyDescent="0.3">
      <c r="A25" s="163" t="s">
        <v>225</v>
      </c>
      <c r="B25" s="160">
        <v>5</v>
      </c>
      <c r="C25" s="267">
        <v>3</v>
      </c>
      <c r="D25" s="267"/>
      <c r="E25" s="162">
        <v>3</v>
      </c>
      <c r="F25" s="160">
        <v>19</v>
      </c>
      <c r="G25" s="162">
        <f t="shared" si="2"/>
        <v>95</v>
      </c>
      <c r="H25" s="160">
        <f t="shared" si="3"/>
        <v>19</v>
      </c>
    </row>
    <row r="26" spans="1:8" x14ac:dyDescent="0.3">
      <c r="A26" s="163" t="s">
        <v>226</v>
      </c>
      <c r="B26" s="160">
        <v>6</v>
      </c>
      <c r="C26" s="267">
        <v>3</v>
      </c>
      <c r="D26" s="267"/>
      <c r="E26" s="162">
        <v>3</v>
      </c>
      <c r="F26" s="160">
        <v>12</v>
      </c>
      <c r="G26" s="162">
        <f t="shared" si="2"/>
        <v>72</v>
      </c>
      <c r="H26" s="160">
        <f t="shared" si="3"/>
        <v>14.4</v>
      </c>
    </row>
    <row r="27" spans="1:8" x14ac:dyDescent="0.3">
      <c r="A27" s="163" t="s">
        <v>227</v>
      </c>
      <c r="B27" s="160">
        <v>7</v>
      </c>
      <c r="C27" s="267">
        <v>3</v>
      </c>
      <c r="D27" s="267"/>
      <c r="E27" s="162">
        <v>3</v>
      </c>
      <c r="F27" s="160">
        <v>5</v>
      </c>
      <c r="G27" s="162">
        <f t="shared" si="2"/>
        <v>35</v>
      </c>
      <c r="H27" s="160">
        <f t="shared" si="3"/>
        <v>7</v>
      </c>
    </row>
    <row r="28" spans="1:8" x14ac:dyDescent="0.3">
      <c r="A28" s="163" t="s">
        <v>228</v>
      </c>
      <c r="B28" s="160">
        <v>8</v>
      </c>
      <c r="C28" s="267">
        <v>3</v>
      </c>
      <c r="D28" s="267"/>
      <c r="E28" s="162">
        <v>3</v>
      </c>
      <c r="F28" s="160">
        <v>11</v>
      </c>
      <c r="G28" s="162">
        <f t="shared" si="2"/>
        <v>88</v>
      </c>
      <c r="H28" s="160">
        <f t="shared" si="3"/>
        <v>17.600000000000001</v>
      </c>
    </row>
    <row r="29" spans="1:8" x14ac:dyDescent="0.3">
      <c r="A29" s="163" t="s">
        <v>229</v>
      </c>
      <c r="B29" s="160">
        <v>9</v>
      </c>
      <c r="C29" s="267">
        <v>3</v>
      </c>
      <c r="D29" s="267"/>
      <c r="E29" s="162">
        <v>3</v>
      </c>
      <c r="F29" s="160">
        <v>2</v>
      </c>
      <c r="G29" s="162">
        <f t="shared" si="2"/>
        <v>18</v>
      </c>
      <c r="H29" s="160">
        <f t="shared" si="3"/>
        <v>3.6</v>
      </c>
    </row>
    <row r="30" spans="1:8" x14ac:dyDescent="0.3">
      <c r="A30" s="163" t="s">
        <v>230</v>
      </c>
      <c r="B30" s="160">
        <v>10</v>
      </c>
      <c r="C30" s="267">
        <v>3</v>
      </c>
      <c r="D30" s="267"/>
      <c r="E30" s="162">
        <v>3</v>
      </c>
      <c r="F30" s="160">
        <v>1</v>
      </c>
      <c r="G30" s="162">
        <f t="shared" si="2"/>
        <v>10</v>
      </c>
      <c r="H30" s="160">
        <f t="shared" si="3"/>
        <v>2</v>
      </c>
    </row>
    <row r="31" spans="1:8" x14ac:dyDescent="0.3">
      <c r="A31" s="163" t="s">
        <v>231</v>
      </c>
      <c r="B31" s="160">
        <v>30</v>
      </c>
      <c r="C31" s="267">
        <v>3</v>
      </c>
      <c r="D31" s="267"/>
      <c r="E31" s="162">
        <v>3</v>
      </c>
      <c r="F31" s="160">
        <v>1</v>
      </c>
      <c r="G31" s="162">
        <f t="shared" si="2"/>
        <v>30</v>
      </c>
      <c r="H31" s="160">
        <f t="shared" si="3"/>
        <v>6</v>
      </c>
    </row>
    <row r="32" spans="1:8" ht="26.4" x14ac:dyDescent="0.3">
      <c r="A32" s="163" t="s">
        <v>234</v>
      </c>
      <c r="B32" s="163"/>
      <c r="C32" s="266"/>
      <c r="D32" s="266"/>
      <c r="E32" s="163"/>
      <c r="F32" s="163">
        <f>SUM(F21:F31)</f>
        <v>127</v>
      </c>
      <c r="G32" s="164">
        <f>SUM(G21:G31)</f>
        <v>562</v>
      </c>
      <c r="H32" s="164">
        <f>SUM(H21:H31)</f>
        <v>112.4</v>
      </c>
    </row>
    <row r="33" spans="1:8" x14ac:dyDescent="0.3">
      <c r="A33" s="161"/>
      <c r="B33" s="161"/>
      <c r="C33" s="161"/>
      <c r="D33" s="161"/>
      <c r="E33" s="161"/>
      <c r="F33" s="161"/>
      <c r="G33" s="161"/>
      <c r="H33" s="161"/>
    </row>
    <row r="34" spans="1:8" x14ac:dyDescent="0.3">
      <c r="A34" s="161"/>
      <c r="B34" s="161"/>
      <c r="C34" s="161"/>
      <c r="D34" s="161"/>
      <c r="E34" s="161"/>
      <c r="F34" s="161"/>
      <c r="G34" s="161"/>
      <c r="H34" s="161"/>
    </row>
    <row r="35" spans="1:8" x14ac:dyDescent="0.3">
      <c r="A35" s="268" t="s">
        <v>217</v>
      </c>
      <c r="B35" s="269"/>
      <c r="C35" s="269"/>
      <c r="D35" s="269"/>
      <c r="E35" s="269"/>
      <c r="F35" s="269"/>
      <c r="G35" s="269"/>
      <c r="H35" s="270"/>
    </row>
    <row r="36" spans="1:8" x14ac:dyDescent="0.3">
      <c r="A36" s="268" t="s">
        <v>211</v>
      </c>
      <c r="B36" s="269"/>
      <c r="C36" s="269"/>
      <c r="D36" s="269"/>
      <c r="E36" s="269"/>
      <c r="F36" s="269"/>
      <c r="G36" s="269"/>
      <c r="H36" s="270"/>
    </row>
    <row r="37" spans="1:8" ht="26.4" x14ac:dyDescent="0.3">
      <c r="A37" s="160" t="s">
        <v>1</v>
      </c>
      <c r="B37" s="160" t="s">
        <v>210</v>
      </c>
      <c r="C37" s="271" t="s">
        <v>212</v>
      </c>
      <c r="D37" s="271"/>
      <c r="E37" s="160" t="s">
        <v>213</v>
      </c>
      <c r="F37" s="160" t="s">
        <v>214</v>
      </c>
      <c r="G37" s="160" t="s">
        <v>215</v>
      </c>
      <c r="H37" s="160" t="s">
        <v>216</v>
      </c>
    </row>
    <row r="38" spans="1:8" x14ac:dyDescent="0.3">
      <c r="A38" s="163" t="s">
        <v>221</v>
      </c>
      <c r="B38" s="160">
        <v>1</v>
      </c>
      <c r="C38" s="267">
        <v>3</v>
      </c>
      <c r="D38" s="267"/>
      <c r="E38" s="162">
        <v>3</v>
      </c>
      <c r="F38" s="160">
        <v>18</v>
      </c>
      <c r="G38" s="162">
        <f>B38*F38</f>
        <v>18</v>
      </c>
      <c r="H38" s="160">
        <f>G38/5</f>
        <v>3.6</v>
      </c>
    </row>
    <row r="39" spans="1:8" x14ac:dyDescent="0.3">
      <c r="A39" s="163" t="s">
        <v>222</v>
      </c>
      <c r="B39" s="160">
        <v>2</v>
      </c>
      <c r="C39" s="267">
        <v>3</v>
      </c>
      <c r="D39" s="267"/>
      <c r="E39" s="162">
        <v>3</v>
      </c>
      <c r="F39" s="160">
        <v>19</v>
      </c>
      <c r="G39" s="162">
        <f t="shared" ref="G39:G48" si="4">B39*F39</f>
        <v>38</v>
      </c>
      <c r="H39" s="160">
        <f t="shared" ref="H39:H48" si="5">G39/5</f>
        <v>7.6</v>
      </c>
    </row>
    <row r="40" spans="1:8" x14ac:dyDescent="0.3">
      <c r="A40" s="163" t="s">
        <v>223</v>
      </c>
      <c r="B40" s="160">
        <v>3</v>
      </c>
      <c r="C40" s="267">
        <v>3</v>
      </c>
      <c r="D40" s="267"/>
      <c r="E40" s="162">
        <v>3</v>
      </c>
      <c r="F40" s="160">
        <v>13</v>
      </c>
      <c r="G40" s="162">
        <f t="shared" si="4"/>
        <v>39</v>
      </c>
      <c r="H40" s="160">
        <f t="shared" si="5"/>
        <v>7.8</v>
      </c>
    </row>
    <row r="41" spans="1:8" x14ac:dyDescent="0.3">
      <c r="A41" s="163" t="s">
        <v>224</v>
      </c>
      <c r="B41" s="160">
        <v>4</v>
      </c>
      <c r="C41" s="267">
        <v>3</v>
      </c>
      <c r="D41" s="267"/>
      <c r="E41" s="162">
        <v>3</v>
      </c>
      <c r="F41" s="160">
        <v>21</v>
      </c>
      <c r="G41" s="162">
        <f t="shared" si="4"/>
        <v>84</v>
      </c>
      <c r="H41" s="160">
        <f t="shared" si="5"/>
        <v>16.8</v>
      </c>
    </row>
    <row r="42" spans="1:8" x14ac:dyDescent="0.3">
      <c r="A42" s="163" t="s">
        <v>225</v>
      </c>
      <c r="B42" s="160">
        <v>5</v>
      </c>
      <c r="C42" s="267">
        <v>3</v>
      </c>
      <c r="D42" s="267"/>
      <c r="E42" s="162">
        <v>3</v>
      </c>
      <c r="F42" s="160">
        <v>20</v>
      </c>
      <c r="G42" s="162">
        <f t="shared" si="4"/>
        <v>100</v>
      </c>
      <c r="H42" s="160">
        <f t="shared" si="5"/>
        <v>20</v>
      </c>
    </row>
    <row r="43" spans="1:8" x14ac:dyDescent="0.3">
      <c r="A43" s="163" t="s">
        <v>226</v>
      </c>
      <c r="B43" s="160">
        <v>6</v>
      </c>
      <c r="C43" s="267">
        <v>3</v>
      </c>
      <c r="D43" s="267"/>
      <c r="E43" s="162">
        <v>3</v>
      </c>
      <c r="F43" s="160">
        <v>13</v>
      </c>
      <c r="G43" s="162">
        <f t="shared" si="4"/>
        <v>78</v>
      </c>
      <c r="H43" s="160">
        <f t="shared" si="5"/>
        <v>15.6</v>
      </c>
    </row>
    <row r="44" spans="1:8" x14ac:dyDescent="0.3">
      <c r="A44" s="163" t="s">
        <v>227</v>
      </c>
      <c r="B44" s="160">
        <v>7</v>
      </c>
      <c r="C44" s="267">
        <v>3</v>
      </c>
      <c r="D44" s="267"/>
      <c r="E44" s="162">
        <v>3</v>
      </c>
      <c r="F44" s="160">
        <v>4</v>
      </c>
      <c r="G44" s="162">
        <f t="shared" si="4"/>
        <v>28</v>
      </c>
      <c r="H44" s="160">
        <f t="shared" si="5"/>
        <v>5.6</v>
      </c>
    </row>
    <row r="45" spans="1:8" x14ac:dyDescent="0.3">
      <c r="A45" s="163" t="s">
        <v>228</v>
      </c>
      <c r="B45" s="160">
        <v>8</v>
      </c>
      <c r="C45" s="267">
        <v>3</v>
      </c>
      <c r="D45" s="267"/>
      <c r="E45" s="162">
        <v>3</v>
      </c>
      <c r="F45" s="160">
        <v>10</v>
      </c>
      <c r="G45" s="162">
        <f t="shared" si="4"/>
        <v>80</v>
      </c>
      <c r="H45" s="160">
        <f t="shared" si="5"/>
        <v>16</v>
      </c>
    </row>
    <row r="46" spans="1:8" x14ac:dyDescent="0.3">
      <c r="A46" s="163" t="s">
        <v>229</v>
      </c>
      <c r="B46" s="160">
        <v>9</v>
      </c>
      <c r="C46" s="267">
        <v>3</v>
      </c>
      <c r="D46" s="267"/>
      <c r="E46" s="162">
        <v>3</v>
      </c>
      <c r="F46" s="160">
        <v>3</v>
      </c>
      <c r="G46" s="162">
        <f t="shared" si="4"/>
        <v>27</v>
      </c>
      <c r="H46" s="160">
        <f t="shared" si="5"/>
        <v>5.4</v>
      </c>
    </row>
    <row r="47" spans="1:8" x14ac:dyDescent="0.3">
      <c r="A47" s="163" t="s">
        <v>230</v>
      </c>
      <c r="B47" s="160">
        <v>16</v>
      </c>
      <c r="C47" s="267">
        <v>3</v>
      </c>
      <c r="D47" s="267"/>
      <c r="E47" s="162">
        <v>3</v>
      </c>
      <c r="F47" s="160">
        <v>1</v>
      </c>
      <c r="G47" s="162">
        <f t="shared" si="4"/>
        <v>16</v>
      </c>
      <c r="H47" s="160">
        <f t="shared" si="5"/>
        <v>3.2</v>
      </c>
    </row>
    <row r="48" spans="1:8" x14ac:dyDescent="0.3">
      <c r="A48" s="163" t="s">
        <v>231</v>
      </c>
      <c r="B48" s="160">
        <v>30</v>
      </c>
      <c r="C48" s="267">
        <v>3</v>
      </c>
      <c r="D48" s="267"/>
      <c r="E48" s="162">
        <v>3</v>
      </c>
      <c r="F48" s="160">
        <v>1</v>
      </c>
      <c r="G48" s="162">
        <f t="shared" si="4"/>
        <v>30</v>
      </c>
      <c r="H48" s="160">
        <f t="shared" si="5"/>
        <v>6</v>
      </c>
    </row>
    <row r="49" spans="1:8" ht="26.4" x14ac:dyDescent="0.3">
      <c r="A49" s="163" t="s">
        <v>233</v>
      </c>
      <c r="B49" s="163"/>
      <c r="C49" s="266"/>
      <c r="D49" s="266"/>
      <c r="E49" s="163"/>
      <c r="F49" s="163">
        <f>SUM(F38:F48)</f>
        <v>123</v>
      </c>
      <c r="G49" s="164">
        <f>SUM(G38:G48)</f>
        <v>538</v>
      </c>
      <c r="H49" s="164">
        <f>SUM(H38:H48)</f>
        <v>107.6</v>
      </c>
    </row>
  </sheetData>
  <mergeCells count="46">
    <mergeCell ref="C12:D12"/>
    <mergeCell ref="A1:H1"/>
    <mergeCell ref="A2:H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25:D25"/>
    <mergeCell ref="C13:D13"/>
    <mergeCell ref="C14:D14"/>
    <mergeCell ref="C15:D15"/>
    <mergeCell ref="C16:D16"/>
    <mergeCell ref="A18:H18"/>
    <mergeCell ref="A19:H19"/>
    <mergeCell ref="C20:D20"/>
    <mergeCell ref="C21:D21"/>
    <mergeCell ref="C22:D22"/>
    <mergeCell ref="C23:D23"/>
    <mergeCell ref="C24:D24"/>
    <mergeCell ref="C39:D39"/>
    <mergeCell ref="C26:D26"/>
    <mergeCell ref="C27:D27"/>
    <mergeCell ref="C28:D28"/>
    <mergeCell ref="C29:D29"/>
    <mergeCell ref="C30:D30"/>
    <mergeCell ref="C31:D31"/>
    <mergeCell ref="C32:D32"/>
    <mergeCell ref="A35:H35"/>
    <mergeCell ref="A36:H36"/>
    <mergeCell ref="C37:D37"/>
    <mergeCell ref="C38:D38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45:D4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J13" sqref="J13"/>
    </sheetView>
  </sheetViews>
  <sheetFormatPr defaultRowHeight="14.4" x14ac:dyDescent="0.3"/>
  <cols>
    <col min="1" max="1" width="7.21875" style="140" customWidth="1"/>
    <col min="2" max="2" width="11.109375" style="140" customWidth="1"/>
    <col min="3" max="3" width="3.88671875" style="140" customWidth="1"/>
    <col min="4" max="4" width="9.88671875" style="140" customWidth="1"/>
    <col min="5" max="5" width="10.5546875" style="140" customWidth="1"/>
    <col min="6" max="6" width="2.33203125" style="140" customWidth="1"/>
    <col min="7" max="7" width="2.6640625" style="140" customWidth="1"/>
    <col min="8" max="8" width="3.77734375" style="140" customWidth="1"/>
    <col min="9" max="9" width="8.44140625" style="140" customWidth="1"/>
    <col min="10" max="10" width="10.77734375" style="140" customWidth="1"/>
    <col min="11" max="11" width="8.21875" style="140" customWidth="1"/>
    <col min="12" max="12" width="9.88671875" style="140" customWidth="1"/>
    <col min="13" max="16384" width="8.88671875" style="140"/>
  </cols>
  <sheetData>
    <row r="1" spans="1:12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 s="153" customFormat="1" ht="31.2" x14ac:dyDescent="0.3">
      <c r="A2" s="141" t="s">
        <v>0</v>
      </c>
      <c r="B2" s="156" t="s">
        <v>206</v>
      </c>
      <c r="C2" s="290" t="s">
        <v>174</v>
      </c>
      <c r="D2" s="279"/>
      <c r="E2" s="279"/>
      <c r="F2" s="279"/>
      <c r="G2" s="279"/>
      <c r="H2" s="280"/>
      <c r="I2" s="294" t="s">
        <v>175</v>
      </c>
      <c r="J2" s="295"/>
      <c r="K2" s="142" t="s">
        <v>15</v>
      </c>
      <c r="L2" s="152" t="s">
        <v>8</v>
      </c>
    </row>
    <row r="3" spans="1:12" ht="61.8" customHeight="1" x14ac:dyDescent="0.3">
      <c r="A3" s="143">
        <v>1</v>
      </c>
      <c r="B3" s="157">
        <v>234</v>
      </c>
      <c r="C3" s="291" t="s">
        <v>205</v>
      </c>
      <c r="D3" s="258"/>
      <c r="E3" s="258"/>
      <c r="F3" s="258"/>
      <c r="G3" s="258"/>
      <c r="H3" s="281"/>
      <c r="I3" s="326" t="s">
        <v>207</v>
      </c>
      <c r="J3" s="327"/>
      <c r="K3" s="143" t="s">
        <v>82</v>
      </c>
      <c r="L3" s="144">
        <f>B9+E11+J9</f>
        <v>2842.0023000000001</v>
      </c>
    </row>
    <row r="4" spans="1:12" ht="15.6" x14ac:dyDescent="0.3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</row>
    <row r="5" spans="1:12" ht="30.6" customHeight="1" x14ac:dyDescent="0.3">
      <c r="A5" s="145" t="s">
        <v>176</v>
      </c>
      <c r="B5" s="145" t="s">
        <v>177</v>
      </c>
      <c r="C5" s="325"/>
      <c r="D5" s="145" t="s">
        <v>176</v>
      </c>
      <c r="E5" s="145" t="s">
        <v>177</v>
      </c>
      <c r="F5" s="325"/>
      <c r="G5" s="325"/>
      <c r="H5" s="325"/>
      <c r="I5" s="145" t="s">
        <v>176</v>
      </c>
      <c r="J5" s="145" t="s">
        <v>177</v>
      </c>
      <c r="K5" s="261"/>
      <c r="L5" s="261"/>
    </row>
    <row r="6" spans="1:12" ht="15.6" customHeight="1" x14ac:dyDescent="0.3">
      <c r="A6" s="146" t="s">
        <v>154</v>
      </c>
      <c r="B6" s="149">
        <f>269.907</f>
        <v>269.90699999999998</v>
      </c>
      <c r="C6" s="325"/>
      <c r="D6" s="146" t="s">
        <v>24</v>
      </c>
      <c r="E6" s="149">
        <f>227.3762+5</f>
        <v>232.37620000000001</v>
      </c>
      <c r="F6" s="325"/>
      <c r="G6" s="325"/>
      <c r="H6" s="325"/>
      <c r="I6" s="146" t="s">
        <v>94</v>
      </c>
      <c r="J6" s="149">
        <f>257.62</f>
        <v>257.62</v>
      </c>
      <c r="K6" s="261"/>
      <c r="L6" s="261"/>
    </row>
    <row r="7" spans="1:12" ht="15.6" customHeight="1" x14ac:dyDescent="0.3">
      <c r="A7" s="147" t="s">
        <v>267</v>
      </c>
      <c r="B7" s="150">
        <f>348.711</f>
        <v>348.71100000000001</v>
      </c>
      <c r="C7" s="325"/>
      <c r="D7" s="147" t="s">
        <v>31</v>
      </c>
      <c r="E7" s="150">
        <f>293.7626+5</f>
        <v>298.76260000000002</v>
      </c>
      <c r="F7" s="325"/>
      <c r="G7" s="325"/>
      <c r="H7" s="325"/>
      <c r="I7" s="147" t="s">
        <v>102</v>
      </c>
      <c r="J7" s="150">
        <f>332.8605</f>
        <v>332.8605</v>
      </c>
      <c r="K7" s="261"/>
      <c r="L7" s="261"/>
    </row>
    <row r="8" spans="1:12" ht="15.6" customHeight="1" x14ac:dyDescent="0.3">
      <c r="A8" s="147" t="s">
        <v>268</v>
      </c>
      <c r="B8" s="150">
        <f>14.72*4-1.35*2.1-1.5*2.2</f>
        <v>52.745000000000005</v>
      </c>
      <c r="C8" s="325"/>
      <c r="D8" s="147" t="s">
        <v>25</v>
      </c>
      <c r="E8" s="150">
        <f>52.595</f>
        <v>52.594999999999999</v>
      </c>
      <c r="F8" s="325"/>
      <c r="G8" s="325"/>
      <c r="H8" s="325"/>
      <c r="I8" s="147" t="s">
        <v>95</v>
      </c>
      <c r="J8" s="150">
        <f>52.895</f>
        <v>52.895000000000003</v>
      </c>
      <c r="K8" s="261"/>
      <c r="L8" s="261"/>
    </row>
    <row r="9" spans="1:12" ht="15.6" customHeight="1" x14ac:dyDescent="0.3">
      <c r="A9" s="154" t="s">
        <v>164</v>
      </c>
      <c r="B9" s="155">
        <f>SUM(B6:B8)</f>
        <v>671.36299999999994</v>
      </c>
      <c r="C9" s="325"/>
      <c r="D9" s="146" t="s">
        <v>133</v>
      </c>
      <c r="E9" s="149">
        <f>529.498+15.4</f>
        <v>544.89800000000002</v>
      </c>
      <c r="F9" s="325"/>
      <c r="G9" s="325"/>
      <c r="H9" s="325"/>
      <c r="I9" s="154" t="s">
        <v>164</v>
      </c>
      <c r="J9" s="155">
        <f>SUM(J6:J8)</f>
        <v>643.37549999999999</v>
      </c>
      <c r="K9" s="261"/>
      <c r="L9" s="261"/>
    </row>
    <row r="10" spans="1:12" ht="15.6" customHeight="1" x14ac:dyDescent="0.3">
      <c r="A10" s="287"/>
      <c r="B10" s="287"/>
      <c r="C10" s="325"/>
      <c r="D10" s="147" t="s">
        <v>135</v>
      </c>
      <c r="E10" s="150">
        <f>388.632+10</f>
        <v>398.63200000000001</v>
      </c>
      <c r="F10" s="325"/>
      <c r="G10" s="325"/>
      <c r="H10" s="325"/>
      <c r="I10" s="259"/>
      <c r="J10" s="259"/>
      <c r="K10" s="261"/>
      <c r="L10" s="261"/>
    </row>
    <row r="11" spans="1:12" ht="15.6" customHeight="1" x14ac:dyDescent="0.3">
      <c r="A11" s="261"/>
      <c r="B11" s="261"/>
      <c r="C11" s="325"/>
      <c r="D11" s="147" t="s">
        <v>164</v>
      </c>
      <c r="E11" s="150">
        <f>SUM(E6:E10)</f>
        <v>1527.2638000000002</v>
      </c>
      <c r="F11" s="325"/>
      <c r="G11" s="325"/>
      <c r="H11" s="325"/>
      <c r="I11" s="325"/>
      <c r="J11" s="325"/>
      <c r="K11" s="261"/>
      <c r="L11" s="261"/>
    </row>
  </sheetData>
  <mergeCells count="11">
    <mergeCell ref="A4:L4"/>
    <mergeCell ref="A1:L1"/>
    <mergeCell ref="C2:H2"/>
    <mergeCell ref="I2:J2"/>
    <mergeCell ref="C3:H3"/>
    <mergeCell ref="I3:J3"/>
    <mergeCell ref="A10:B11"/>
    <mergeCell ref="C5:C11"/>
    <mergeCell ref="I10:J11"/>
    <mergeCell ref="K5:L11"/>
    <mergeCell ref="F5:H11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opLeftCell="A4" workbookViewId="0">
      <selection activeCell="C3" sqref="C3:H3"/>
    </sheetView>
  </sheetViews>
  <sheetFormatPr defaultRowHeight="14.4" x14ac:dyDescent="0.3"/>
  <cols>
    <col min="1" max="1" width="7.21875" style="140" customWidth="1"/>
    <col min="2" max="2" width="11.109375" style="140" customWidth="1"/>
    <col min="3" max="3" width="3.88671875" style="140" customWidth="1"/>
    <col min="4" max="4" width="9.88671875" style="140" customWidth="1"/>
    <col min="5" max="5" width="10.5546875" style="140" customWidth="1"/>
    <col min="6" max="6" width="2.33203125" style="140" customWidth="1"/>
    <col min="7" max="7" width="2.6640625" style="140" customWidth="1"/>
    <col min="8" max="8" width="3.77734375" style="140" customWidth="1"/>
    <col min="9" max="9" width="8.44140625" style="140" customWidth="1"/>
    <col min="10" max="10" width="10.77734375" style="140" customWidth="1"/>
    <col min="11" max="11" width="8.21875" style="140" customWidth="1"/>
    <col min="12" max="12" width="9.88671875" style="140" customWidth="1"/>
    <col min="13" max="16384" width="8.88671875" style="140"/>
  </cols>
  <sheetData>
    <row r="1" spans="1:12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 s="153" customFormat="1" ht="31.2" x14ac:dyDescent="0.3">
      <c r="A2" s="141" t="s">
        <v>0</v>
      </c>
      <c r="B2" s="156" t="s">
        <v>206</v>
      </c>
      <c r="C2" s="290" t="s">
        <v>174</v>
      </c>
      <c r="D2" s="279"/>
      <c r="E2" s="279"/>
      <c r="F2" s="279"/>
      <c r="G2" s="279"/>
      <c r="H2" s="280"/>
      <c r="I2" s="294" t="s">
        <v>175</v>
      </c>
      <c r="J2" s="295"/>
      <c r="K2" s="142" t="s">
        <v>15</v>
      </c>
      <c r="L2" s="152" t="s">
        <v>8</v>
      </c>
    </row>
    <row r="3" spans="1:12" ht="61.8" customHeight="1" x14ac:dyDescent="0.3">
      <c r="A3" s="143">
        <v>1</v>
      </c>
      <c r="B3" s="157">
        <v>234</v>
      </c>
      <c r="C3" s="291" t="s">
        <v>205</v>
      </c>
      <c r="D3" s="258"/>
      <c r="E3" s="258"/>
      <c r="F3" s="258"/>
      <c r="G3" s="258"/>
      <c r="H3" s="281"/>
      <c r="I3" s="326" t="s">
        <v>207</v>
      </c>
      <c r="J3" s="327"/>
      <c r="K3" s="143" t="s">
        <v>82</v>
      </c>
      <c r="L3" s="144">
        <f>B13+E15+J16</f>
        <v>2873.96</v>
      </c>
    </row>
    <row r="4" spans="1:12" ht="15.6" x14ac:dyDescent="0.3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</row>
    <row r="5" spans="1:12" ht="30.6" customHeight="1" x14ac:dyDescent="0.3">
      <c r="A5" s="145" t="s">
        <v>176</v>
      </c>
      <c r="B5" s="145" t="s">
        <v>177</v>
      </c>
      <c r="C5" s="325"/>
      <c r="D5" s="145" t="s">
        <v>176</v>
      </c>
      <c r="E5" s="145" t="s">
        <v>177</v>
      </c>
      <c r="F5" s="325"/>
      <c r="G5" s="325"/>
      <c r="H5" s="325"/>
      <c r="I5" s="145" t="s">
        <v>176</v>
      </c>
      <c r="J5" s="145" t="s">
        <v>177</v>
      </c>
      <c r="K5" s="261"/>
      <c r="L5" s="261"/>
    </row>
    <row r="6" spans="1:12" ht="15.6" customHeight="1" x14ac:dyDescent="0.3">
      <c r="A6" s="146" t="s">
        <v>181</v>
      </c>
      <c r="B6" s="149">
        <v>125.55</v>
      </c>
      <c r="C6" s="325"/>
      <c r="D6" s="146" t="s">
        <v>21</v>
      </c>
      <c r="E6" s="149">
        <v>118.18</v>
      </c>
      <c r="F6" s="325"/>
      <c r="G6" s="325"/>
      <c r="H6" s="325"/>
      <c r="I6" s="146" t="s">
        <v>93</v>
      </c>
      <c r="J6" s="149">
        <v>116.51</v>
      </c>
      <c r="K6" s="261"/>
      <c r="L6" s="261"/>
    </row>
    <row r="7" spans="1:12" ht="15.6" customHeight="1" x14ac:dyDescent="0.3">
      <c r="A7" s="147" t="s">
        <v>182</v>
      </c>
      <c r="B7" s="150">
        <v>118.27</v>
      </c>
      <c r="C7" s="325"/>
      <c r="D7" s="147" t="s">
        <v>22</v>
      </c>
      <c r="E7" s="150">
        <v>113.74</v>
      </c>
      <c r="F7" s="325"/>
      <c r="G7" s="325"/>
      <c r="H7" s="325"/>
      <c r="I7" s="147" t="s">
        <v>96</v>
      </c>
      <c r="J7" s="150">
        <v>102.57</v>
      </c>
      <c r="K7" s="261"/>
      <c r="L7" s="261"/>
    </row>
    <row r="8" spans="1:12" ht="15.6" customHeight="1" x14ac:dyDescent="0.3">
      <c r="A8" s="146" t="s">
        <v>183</v>
      </c>
      <c r="B8" s="149">
        <v>102.42</v>
      </c>
      <c r="C8" s="325"/>
      <c r="D8" s="146" t="s">
        <v>23</v>
      </c>
      <c r="E8" s="149">
        <v>122.5</v>
      </c>
      <c r="F8" s="325"/>
      <c r="G8" s="325"/>
      <c r="H8" s="325"/>
      <c r="I8" s="146" t="s">
        <v>97</v>
      </c>
      <c r="J8" s="149">
        <v>104.7</v>
      </c>
      <c r="K8" s="261"/>
      <c r="L8" s="261"/>
    </row>
    <row r="9" spans="1:12" ht="15.6" customHeight="1" x14ac:dyDescent="0.3">
      <c r="A9" s="147" t="s">
        <v>184</v>
      </c>
      <c r="B9" s="150">
        <v>101.91</v>
      </c>
      <c r="C9" s="325"/>
      <c r="D9" s="147" t="s">
        <v>26</v>
      </c>
      <c r="E9" s="150">
        <v>106.77</v>
      </c>
      <c r="F9" s="325"/>
      <c r="G9" s="325"/>
      <c r="H9" s="325"/>
      <c r="I9" s="147" t="s">
        <v>98</v>
      </c>
      <c r="J9" s="150">
        <v>101.61</v>
      </c>
      <c r="K9" s="261"/>
      <c r="L9" s="261"/>
    </row>
    <row r="10" spans="1:12" ht="15.6" customHeight="1" x14ac:dyDescent="0.3">
      <c r="A10" s="146" t="s">
        <v>178</v>
      </c>
      <c r="B10" s="149">
        <v>98.2</v>
      </c>
      <c r="C10" s="325"/>
      <c r="D10" s="146" t="s">
        <v>27</v>
      </c>
      <c r="E10" s="149">
        <v>111.51</v>
      </c>
      <c r="F10" s="325"/>
      <c r="G10" s="325"/>
      <c r="H10" s="325"/>
      <c r="I10" s="146" t="s">
        <v>99</v>
      </c>
      <c r="J10" s="149">
        <v>105.25</v>
      </c>
      <c r="K10" s="261"/>
      <c r="L10" s="261"/>
    </row>
    <row r="11" spans="1:12" ht="15.6" customHeight="1" x14ac:dyDescent="0.3">
      <c r="A11" s="147" t="s">
        <v>185</v>
      </c>
      <c r="B11" s="150">
        <v>94.76</v>
      </c>
      <c r="C11" s="325"/>
      <c r="D11" s="147" t="s">
        <v>28</v>
      </c>
      <c r="E11" s="150">
        <v>106.77</v>
      </c>
      <c r="F11" s="325"/>
      <c r="G11" s="325"/>
      <c r="H11" s="325"/>
      <c r="I11" s="147" t="s">
        <v>100</v>
      </c>
      <c r="J11" s="150">
        <v>105.33</v>
      </c>
      <c r="K11" s="261"/>
      <c r="L11" s="261"/>
    </row>
    <row r="12" spans="1:12" ht="15.6" customHeight="1" x14ac:dyDescent="0.3">
      <c r="A12" s="146" t="s">
        <v>179</v>
      </c>
      <c r="B12" s="149">
        <v>152.44</v>
      </c>
      <c r="C12" s="325"/>
      <c r="D12" s="146" t="s">
        <v>29</v>
      </c>
      <c r="E12" s="149">
        <v>93.03</v>
      </c>
      <c r="F12" s="325"/>
      <c r="G12" s="325"/>
      <c r="H12" s="325"/>
      <c r="I12" s="146" t="s">
        <v>101</v>
      </c>
      <c r="J12" s="149">
        <v>101.95</v>
      </c>
      <c r="K12" s="261"/>
      <c r="L12" s="261"/>
    </row>
    <row r="13" spans="1:12" ht="15.6" customHeight="1" x14ac:dyDescent="0.3">
      <c r="A13" s="148" t="s">
        <v>164</v>
      </c>
      <c r="B13" s="151">
        <f>SUM(B6:B12)</f>
        <v>793.55</v>
      </c>
      <c r="C13" s="325"/>
      <c r="D13" s="147" t="s">
        <v>30</v>
      </c>
      <c r="E13" s="150">
        <v>106.64</v>
      </c>
      <c r="F13" s="325"/>
      <c r="G13" s="325"/>
      <c r="H13" s="325"/>
      <c r="I13" s="147" t="s">
        <v>92</v>
      </c>
      <c r="J13" s="150">
        <v>105.79</v>
      </c>
      <c r="K13" s="261"/>
      <c r="L13" s="261"/>
    </row>
    <row r="14" spans="1:12" ht="15.6" customHeight="1" x14ac:dyDescent="0.3">
      <c r="A14" s="261"/>
      <c r="B14" s="261"/>
      <c r="C14" s="325"/>
      <c r="D14" s="146" t="s">
        <v>32</v>
      </c>
      <c r="E14" s="149">
        <v>83.2</v>
      </c>
      <c r="F14" s="325"/>
      <c r="G14" s="325"/>
      <c r="H14" s="325"/>
      <c r="I14" s="146" t="s">
        <v>91</v>
      </c>
      <c r="J14" s="149">
        <v>105.58</v>
      </c>
      <c r="K14" s="261"/>
      <c r="L14" s="261"/>
    </row>
    <row r="15" spans="1:12" ht="15.6" customHeight="1" x14ac:dyDescent="0.3">
      <c r="A15" s="261"/>
      <c r="B15" s="261"/>
      <c r="C15" s="325"/>
      <c r="D15" s="148" t="s">
        <v>164</v>
      </c>
      <c r="E15" s="151">
        <f>SUM(E6:E14)</f>
        <v>962.34</v>
      </c>
      <c r="F15" s="325"/>
      <c r="G15" s="325"/>
      <c r="H15" s="325"/>
      <c r="I15" s="147" t="s">
        <v>90</v>
      </c>
      <c r="J15" s="150">
        <v>168.78</v>
      </c>
      <c r="K15" s="261"/>
      <c r="L15" s="261"/>
    </row>
    <row r="16" spans="1:12" x14ac:dyDescent="0.3">
      <c r="A16" s="261"/>
      <c r="B16" s="261"/>
      <c r="C16" s="261"/>
      <c r="D16" s="261"/>
      <c r="E16" s="261"/>
      <c r="F16" s="261"/>
      <c r="G16" s="261"/>
      <c r="H16" s="261"/>
      <c r="I16" s="148" t="s">
        <v>164</v>
      </c>
      <c r="J16" s="151">
        <f>SUM(J6:J15)</f>
        <v>1118.0700000000002</v>
      </c>
      <c r="K16" s="261"/>
      <c r="L16" s="261"/>
    </row>
  </sheetData>
  <mergeCells count="11">
    <mergeCell ref="C5:C15"/>
    <mergeCell ref="A14:B15"/>
    <mergeCell ref="F5:H15"/>
    <mergeCell ref="A16:H16"/>
    <mergeCell ref="K5:L16"/>
    <mergeCell ref="A4:L4"/>
    <mergeCell ref="A1:L1"/>
    <mergeCell ref="C2:H2"/>
    <mergeCell ref="I2:J2"/>
    <mergeCell ref="C3:H3"/>
    <mergeCell ref="I3:J3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zoomScale="85" zoomScaleNormal="85" workbookViewId="0">
      <selection activeCell="C3" sqref="C3:H3"/>
    </sheetView>
  </sheetViews>
  <sheetFormatPr defaultRowHeight="14.4" x14ac:dyDescent="0.3"/>
  <cols>
    <col min="1" max="2" width="7.21875" style="140" customWidth="1"/>
    <col min="3" max="3" width="8.44140625" style="140" customWidth="1"/>
    <col min="4" max="4" width="9.88671875" style="140" customWidth="1"/>
    <col min="5" max="5" width="5.5546875" style="140" customWidth="1"/>
    <col min="6" max="6" width="7.109375" style="140" customWidth="1"/>
    <col min="7" max="7" width="7.6640625" style="140" customWidth="1"/>
    <col min="8" max="8" width="4.5546875" style="140" customWidth="1"/>
    <col min="9" max="9" width="11.6640625" style="140" customWidth="1"/>
    <col min="10" max="10" width="15.44140625" style="140" customWidth="1"/>
    <col min="11" max="11" width="7.5546875" style="140" customWidth="1"/>
    <col min="12" max="12" width="9" style="140" customWidth="1"/>
    <col min="13" max="16384" width="8.88671875" style="140"/>
  </cols>
  <sheetData>
    <row r="1" spans="1:12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 s="153" customFormat="1" ht="31.2" x14ac:dyDescent="0.3">
      <c r="A2" s="141" t="s">
        <v>0</v>
      </c>
      <c r="B2" s="156" t="s">
        <v>203</v>
      </c>
      <c r="C2" s="290" t="s">
        <v>174</v>
      </c>
      <c r="D2" s="279"/>
      <c r="E2" s="279"/>
      <c r="F2" s="279"/>
      <c r="G2" s="279"/>
      <c r="H2" s="280"/>
      <c r="I2" s="294" t="s">
        <v>175</v>
      </c>
      <c r="J2" s="295"/>
      <c r="K2" s="142" t="s">
        <v>15</v>
      </c>
      <c r="L2" s="152" t="s">
        <v>8</v>
      </c>
    </row>
    <row r="3" spans="1:12" ht="36.6" customHeight="1" x14ac:dyDescent="0.3">
      <c r="A3" s="143">
        <v>1</v>
      </c>
      <c r="B3" s="157">
        <v>214</v>
      </c>
      <c r="C3" s="291" t="s">
        <v>202</v>
      </c>
      <c r="D3" s="258"/>
      <c r="E3" s="258"/>
      <c r="F3" s="258"/>
      <c r="G3" s="258"/>
      <c r="H3" s="281"/>
      <c r="I3" s="326" t="s">
        <v>204</v>
      </c>
      <c r="J3" s="327"/>
      <c r="K3" s="143" t="s">
        <v>82</v>
      </c>
      <c r="L3" s="144">
        <f>B9</f>
        <v>458.76</v>
      </c>
    </row>
    <row r="4" spans="1:12" ht="15.6" x14ac:dyDescent="0.3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</row>
    <row r="5" spans="1:12" ht="30.6" customHeight="1" x14ac:dyDescent="0.3">
      <c r="A5" s="145" t="s">
        <v>201</v>
      </c>
      <c r="B5" s="145" t="s">
        <v>177</v>
      </c>
      <c r="C5" s="261"/>
      <c r="D5" s="261"/>
      <c r="E5" s="261"/>
      <c r="F5" s="261"/>
      <c r="G5" s="261"/>
      <c r="H5" s="261"/>
      <c r="I5" s="261"/>
      <c r="J5" s="261"/>
      <c r="K5" s="261"/>
      <c r="L5" s="261"/>
    </row>
    <row r="6" spans="1:12" ht="15.6" customHeight="1" x14ac:dyDescent="0.3">
      <c r="A6" s="159">
        <v>1</v>
      </c>
      <c r="B6" s="150">
        <f>4*40.94</f>
        <v>163.76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</row>
    <row r="7" spans="1:12" ht="15.6" customHeight="1" x14ac:dyDescent="0.3">
      <c r="A7" s="158">
        <v>2</v>
      </c>
      <c r="B7" s="149">
        <f>4*42</f>
        <v>168</v>
      </c>
      <c r="C7" s="261"/>
      <c r="D7" s="261"/>
      <c r="E7" s="261"/>
      <c r="F7" s="261"/>
      <c r="G7" s="261"/>
      <c r="H7" s="261"/>
      <c r="I7" s="261"/>
      <c r="J7" s="261"/>
      <c r="K7" s="261"/>
      <c r="L7" s="261"/>
    </row>
    <row r="8" spans="1:12" ht="15.6" customHeight="1" x14ac:dyDescent="0.3">
      <c r="A8" s="158">
        <v>3</v>
      </c>
      <c r="B8" s="149">
        <f>4*31.75</f>
        <v>127</v>
      </c>
      <c r="C8" s="261"/>
      <c r="D8" s="261"/>
      <c r="E8" s="261"/>
      <c r="F8" s="261"/>
      <c r="G8" s="261"/>
      <c r="H8" s="261"/>
      <c r="I8" s="261"/>
      <c r="J8" s="261"/>
      <c r="K8" s="261"/>
      <c r="L8" s="261"/>
    </row>
    <row r="9" spans="1:12" ht="15.6" customHeight="1" x14ac:dyDescent="0.3">
      <c r="B9" s="151">
        <f>SUM(B6:B8)</f>
        <v>458.76</v>
      </c>
      <c r="C9" s="261"/>
      <c r="D9" s="261"/>
      <c r="E9" s="261"/>
      <c r="F9" s="261"/>
      <c r="G9" s="261"/>
      <c r="H9" s="261"/>
      <c r="I9" s="261"/>
      <c r="J9" s="261"/>
      <c r="K9" s="261"/>
      <c r="L9" s="261"/>
    </row>
  </sheetData>
  <mergeCells count="7">
    <mergeCell ref="C5:L9"/>
    <mergeCell ref="A1:L1"/>
    <mergeCell ref="C2:H2"/>
    <mergeCell ref="I2:J2"/>
    <mergeCell ref="C3:H3"/>
    <mergeCell ref="I3:J3"/>
    <mergeCell ref="A4:L4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70" zoomScaleNormal="70" workbookViewId="0">
      <selection activeCell="M23" sqref="M23"/>
    </sheetView>
  </sheetViews>
  <sheetFormatPr defaultRowHeight="14.4" x14ac:dyDescent="0.3"/>
  <cols>
    <col min="1" max="1" width="7.21875" style="140" customWidth="1"/>
    <col min="2" max="2" width="7" style="140" customWidth="1"/>
    <col min="3" max="3" width="12.21875" style="140" customWidth="1"/>
    <col min="4" max="4" width="5.109375" style="140" customWidth="1"/>
    <col min="5" max="5" width="8.33203125" style="140" customWidth="1"/>
    <col min="6" max="6" width="7.6640625" style="140" customWidth="1"/>
    <col min="7" max="7" width="8" style="140" customWidth="1"/>
    <col min="8" max="8" width="11.6640625" style="140" customWidth="1"/>
    <col min="9" max="9" width="15.44140625" style="140" customWidth="1"/>
    <col min="10" max="10" width="7.5546875" style="140" customWidth="1"/>
    <col min="11" max="11" width="9" style="140" customWidth="1"/>
    <col min="12" max="16384" width="8.88671875" style="140"/>
  </cols>
  <sheetData>
    <row r="1" spans="1:11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</row>
    <row r="2" spans="1:11" s="153" customFormat="1" ht="31.2" x14ac:dyDescent="0.3">
      <c r="A2" s="141" t="s">
        <v>0</v>
      </c>
      <c r="B2" s="290" t="s">
        <v>174</v>
      </c>
      <c r="C2" s="279"/>
      <c r="D2" s="279"/>
      <c r="E2" s="279"/>
      <c r="F2" s="279"/>
      <c r="G2" s="280"/>
      <c r="H2" s="294" t="s">
        <v>175</v>
      </c>
      <c r="I2" s="295"/>
      <c r="J2" s="142" t="s">
        <v>15</v>
      </c>
      <c r="K2" s="152" t="s">
        <v>8</v>
      </c>
    </row>
    <row r="3" spans="1:11" ht="58.8" customHeight="1" x14ac:dyDescent="0.3">
      <c r="A3" s="143">
        <v>1</v>
      </c>
      <c r="B3" s="291" t="s">
        <v>199</v>
      </c>
      <c r="C3" s="258"/>
      <c r="D3" s="258"/>
      <c r="E3" s="258"/>
      <c r="F3" s="258"/>
      <c r="G3" s="281"/>
      <c r="H3" s="326" t="s">
        <v>200</v>
      </c>
      <c r="I3" s="327"/>
      <c r="J3" s="143" t="s">
        <v>82</v>
      </c>
      <c r="K3" s="144">
        <f>B9</f>
        <v>127.953</v>
      </c>
    </row>
    <row r="4" spans="1:11" ht="15.6" x14ac:dyDescent="0.3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</row>
    <row r="5" spans="1:11" ht="30.6" customHeight="1" x14ac:dyDescent="0.3">
      <c r="A5" s="145" t="s">
        <v>201</v>
      </c>
      <c r="B5" s="145" t="s">
        <v>177</v>
      </c>
      <c r="C5" s="261"/>
      <c r="D5" s="261"/>
      <c r="E5" s="261"/>
      <c r="F5" s="261"/>
      <c r="G5" s="261"/>
      <c r="H5" s="261"/>
      <c r="I5" s="261"/>
      <c r="J5" s="261"/>
      <c r="K5" s="261"/>
    </row>
    <row r="6" spans="1:11" ht="15.6" customHeight="1" x14ac:dyDescent="0.3">
      <c r="A6" s="146">
        <v>1</v>
      </c>
      <c r="B6" s="149">
        <f>10.47*3.9-1.72*3.9+1.72*0.8+1.99*3.9</f>
        <v>43.262</v>
      </c>
      <c r="C6" s="261"/>
      <c r="D6" s="261"/>
      <c r="E6" s="261"/>
      <c r="F6" s="261"/>
      <c r="G6" s="261"/>
      <c r="H6" s="261"/>
      <c r="I6" s="261"/>
      <c r="J6" s="261"/>
      <c r="K6" s="261"/>
    </row>
    <row r="7" spans="1:11" ht="15.6" customHeight="1" x14ac:dyDescent="0.3">
      <c r="A7" s="147">
        <v>2</v>
      </c>
      <c r="B7" s="150">
        <f>10.37*3.9-1.72*3.9+1.72*0.8+1.99*3.9</f>
        <v>42.872</v>
      </c>
      <c r="C7" s="261"/>
      <c r="D7" s="261"/>
      <c r="E7" s="261"/>
      <c r="F7" s="261"/>
      <c r="G7" s="261"/>
      <c r="H7" s="261"/>
      <c r="I7" s="261"/>
      <c r="J7" s="261"/>
      <c r="K7" s="261"/>
    </row>
    <row r="8" spans="1:11" ht="15.6" customHeight="1" x14ac:dyDescent="0.3">
      <c r="A8" s="146">
        <v>3</v>
      </c>
      <c r="B8" s="149">
        <f>10.1*3.9-1.72*3.9+1.72*0.8+1.99*3.9</f>
        <v>41.819000000000003</v>
      </c>
      <c r="C8" s="261"/>
      <c r="D8" s="261"/>
      <c r="E8" s="261"/>
      <c r="F8" s="261"/>
      <c r="G8" s="261"/>
      <c r="H8" s="261"/>
      <c r="I8" s="261"/>
      <c r="J8" s="261"/>
      <c r="K8" s="261"/>
    </row>
    <row r="9" spans="1:11" x14ac:dyDescent="0.3">
      <c r="A9" s="154" t="s">
        <v>164</v>
      </c>
      <c r="B9" s="155">
        <f>SUM(B6:B8)</f>
        <v>127.953</v>
      </c>
      <c r="C9" s="261"/>
      <c r="D9" s="261"/>
      <c r="E9" s="261"/>
      <c r="F9" s="261"/>
      <c r="G9" s="261"/>
      <c r="H9" s="261"/>
      <c r="I9" s="261"/>
      <c r="J9" s="261"/>
      <c r="K9" s="261"/>
    </row>
  </sheetData>
  <mergeCells count="7">
    <mergeCell ref="C5:K9"/>
    <mergeCell ref="A1:K1"/>
    <mergeCell ref="B2:G2"/>
    <mergeCell ref="H2:I2"/>
    <mergeCell ref="B3:G3"/>
    <mergeCell ref="H3:I3"/>
    <mergeCell ref="A4:K4"/>
  </mergeCells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zoomScale="60" zoomScaleNormal="60" workbookViewId="0">
      <selection activeCell="P13" sqref="P13"/>
    </sheetView>
  </sheetViews>
  <sheetFormatPr defaultRowHeight="14.4" x14ac:dyDescent="0.3"/>
  <cols>
    <col min="1" max="1" width="7.21875" style="140" customWidth="1"/>
    <col min="2" max="2" width="7" style="140" customWidth="1"/>
    <col min="3" max="3" width="9.88671875" style="140" customWidth="1"/>
    <col min="4" max="4" width="5.5546875" style="140" customWidth="1"/>
    <col min="5" max="5" width="7.109375" style="140" customWidth="1"/>
    <col min="6" max="6" width="7.6640625" style="140" customWidth="1"/>
    <col min="7" max="7" width="4.5546875" style="140" customWidth="1"/>
    <col min="8" max="8" width="11.6640625" style="140" customWidth="1"/>
    <col min="9" max="9" width="15.44140625" style="140" customWidth="1"/>
    <col min="10" max="10" width="7.5546875" style="140" customWidth="1"/>
    <col min="11" max="11" width="9" style="140" customWidth="1"/>
    <col min="12" max="16384" width="8.88671875" style="140"/>
  </cols>
  <sheetData>
    <row r="1" spans="1:11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</row>
    <row r="2" spans="1:11" s="153" customFormat="1" ht="31.2" x14ac:dyDescent="0.3">
      <c r="A2" s="141" t="s">
        <v>0</v>
      </c>
      <c r="B2" s="290" t="s">
        <v>174</v>
      </c>
      <c r="C2" s="279"/>
      <c r="D2" s="279"/>
      <c r="E2" s="279"/>
      <c r="F2" s="279"/>
      <c r="G2" s="280"/>
      <c r="H2" s="294" t="s">
        <v>175</v>
      </c>
      <c r="I2" s="295"/>
      <c r="J2" s="142" t="s">
        <v>15</v>
      </c>
      <c r="K2" s="152" t="s">
        <v>8</v>
      </c>
    </row>
    <row r="3" spans="1:11" ht="86.4" customHeight="1" x14ac:dyDescent="0.3">
      <c r="A3" s="143">
        <v>1</v>
      </c>
      <c r="B3" s="291" t="s">
        <v>187</v>
      </c>
      <c r="C3" s="258"/>
      <c r="D3" s="258"/>
      <c r="E3" s="258"/>
      <c r="F3" s="258"/>
      <c r="G3" s="281"/>
      <c r="H3" s="326" t="s">
        <v>188</v>
      </c>
      <c r="I3" s="327"/>
      <c r="J3" s="143" t="s">
        <v>82</v>
      </c>
      <c r="K3" s="144">
        <f>C15</f>
        <v>3167.8690000000001</v>
      </c>
    </row>
    <row r="4" spans="1:11" ht="15.6" x14ac:dyDescent="0.3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</row>
    <row r="5" spans="1:11" ht="30.6" customHeight="1" x14ac:dyDescent="0.3">
      <c r="A5" s="145" t="s">
        <v>176</v>
      </c>
      <c r="B5" s="145" t="s">
        <v>180</v>
      </c>
      <c r="C5" s="145" t="s">
        <v>177</v>
      </c>
      <c r="D5" s="261"/>
      <c r="E5" s="261"/>
      <c r="F5" s="261"/>
      <c r="G5" s="261"/>
      <c r="H5" s="261"/>
      <c r="I5" s="261"/>
      <c r="J5" s="261"/>
      <c r="K5" s="261"/>
    </row>
    <row r="6" spans="1:11" ht="15.6" customHeight="1" x14ac:dyDescent="0.3">
      <c r="A6" s="146" t="s">
        <v>189</v>
      </c>
      <c r="B6" s="146" t="s">
        <v>198</v>
      </c>
      <c r="C6" s="149">
        <v>590.38850000000002</v>
      </c>
      <c r="D6" s="261"/>
      <c r="E6" s="261"/>
      <c r="F6" s="261"/>
      <c r="G6" s="261"/>
      <c r="H6" s="261"/>
      <c r="I6" s="261"/>
      <c r="J6" s="261"/>
      <c r="K6" s="261"/>
    </row>
    <row r="7" spans="1:11" ht="15.6" customHeight="1" x14ac:dyDescent="0.3">
      <c r="A7" s="147" t="s">
        <v>190</v>
      </c>
      <c r="B7" s="147" t="s">
        <v>198</v>
      </c>
      <c r="C7" s="150">
        <v>141.96</v>
      </c>
      <c r="D7" s="261"/>
      <c r="E7" s="261"/>
      <c r="F7" s="261"/>
      <c r="G7" s="261"/>
      <c r="H7" s="261"/>
      <c r="I7" s="261"/>
      <c r="J7" s="261"/>
      <c r="K7" s="261"/>
    </row>
    <row r="8" spans="1:11" ht="15.6" customHeight="1" x14ac:dyDescent="0.3">
      <c r="A8" s="146" t="s">
        <v>191</v>
      </c>
      <c r="B8" s="146" t="s">
        <v>198</v>
      </c>
      <c r="C8" s="149">
        <v>610.49</v>
      </c>
      <c r="D8" s="261"/>
      <c r="E8" s="261"/>
      <c r="F8" s="261"/>
      <c r="G8" s="261"/>
      <c r="H8" s="261"/>
      <c r="I8" s="261"/>
      <c r="J8" s="261"/>
      <c r="K8" s="261"/>
    </row>
    <row r="9" spans="1:11" ht="15.6" customHeight="1" x14ac:dyDescent="0.3">
      <c r="A9" s="147" t="s">
        <v>192</v>
      </c>
      <c r="B9" s="147" t="s">
        <v>198</v>
      </c>
      <c r="C9" s="150">
        <v>736.31050000000005</v>
      </c>
      <c r="D9" s="261"/>
      <c r="E9" s="261"/>
      <c r="F9" s="261"/>
      <c r="G9" s="261"/>
      <c r="H9" s="261"/>
      <c r="I9" s="261"/>
      <c r="J9" s="261"/>
      <c r="K9" s="261"/>
    </row>
    <row r="10" spans="1:11" ht="15.6" customHeight="1" x14ac:dyDescent="0.3">
      <c r="A10" s="146" t="s">
        <v>193</v>
      </c>
      <c r="B10" s="146" t="s">
        <v>198</v>
      </c>
      <c r="C10" s="149">
        <v>184.6</v>
      </c>
      <c r="D10" s="261"/>
      <c r="E10" s="261"/>
      <c r="F10" s="261"/>
      <c r="G10" s="261"/>
      <c r="H10" s="261"/>
      <c r="I10" s="261"/>
      <c r="J10" s="261"/>
      <c r="K10" s="261"/>
    </row>
    <row r="11" spans="1:11" ht="15.6" customHeight="1" x14ac:dyDescent="0.3">
      <c r="A11" s="147" t="s">
        <v>194</v>
      </c>
      <c r="B11" s="147" t="s">
        <v>198</v>
      </c>
      <c r="C11" s="150">
        <v>714.72</v>
      </c>
      <c r="D11" s="261"/>
      <c r="E11" s="261"/>
      <c r="F11" s="261"/>
      <c r="G11" s="261"/>
      <c r="H11" s="261"/>
      <c r="I11" s="261"/>
      <c r="J11" s="261"/>
      <c r="K11" s="261"/>
    </row>
    <row r="12" spans="1:11" ht="15.6" customHeight="1" x14ac:dyDescent="0.3">
      <c r="A12" s="146" t="s">
        <v>195</v>
      </c>
      <c r="B12" s="146" t="s">
        <v>198</v>
      </c>
      <c r="C12" s="149">
        <v>94.2</v>
      </c>
      <c r="D12" s="261"/>
      <c r="E12" s="261"/>
      <c r="F12" s="261"/>
      <c r="G12" s="261"/>
      <c r="H12" s="261"/>
      <c r="I12" s="261"/>
      <c r="J12" s="261"/>
      <c r="K12" s="261"/>
    </row>
    <row r="13" spans="1:11" ht="15.6" customHeight="1" x14ac:dyDescent="0.3">
      <c r="A13" s="147" t="s">
        <v>196</v>
      </c>
      <c r="B13" s="147" t="s">
        <v>198</v>
      </c>
      <c r="C13" s="150">
        <v>42.8</v>
      </c>
      <c r="D13" s="261"/>
      <c r="E13" s="261"/>
      <c r="F13" s="261"/>
      <c r="G13" s="261"/>
      <c r="H13" s="261"/>
      <c r="I13" s="261"/>
      <c r="J13" s="261"/>
      <c r="K13" s="261"/>
    </row>
    <row r="14" spans="1:11" x14ac:dyDescent="0.3">
      <c r="A14" s="146" t="s">
        <v>197</v>
      </c>
      <c r="B14" s="146" t="s">
        <v>198</v>
      </c>
      <c r="C14" s="149">
        <v>52.4</v>
      </c>
      <c r="D14" s="261"/>
      <c r="E14" s="261"/>
      <c r="F14" s="261"/>
      <c r="G14" s="261"/>
      <c r="H14" s="261"/>
      <c r="I14" s="261"/>
      <c r="J14" s="261"/>
      <c r="K14" s="261"/>
    </row>
    <row r="15" spans="1:11" x14ac:dyDescent="0.3">
      <c r="B15" s="148" t="s">
        <v>164</v>
      </c>
      <c r="C15" s="151">
        <f>SUM(C6:C14)</f>
        <v>3167.8690000000001</v>
      </c>
      <c r="D15" s="261"/>
      <c r="E15" s="261"/>
      <c r="F15" s="261"/>
      <c r="G15" s="261"/>
      <c r="H15" s="261"/>
      <c r="I15" s="261"/>
      <c r="J15" s="261"/>
      <c r="K15" s="261"/>
    </row>
  </sheetData>
  <mergeCells count="7">
    <mergeCell ref="D5:K15"/>
    <mergeCell ref="A1:K1"/>
    <mergeCell ref="B2:G2"/>
    <mergeCell ref="H2:I2"/>
    <mergeCell ref="B3:G3"/>
    <mergeCell ref="H3:I3"/>
    <mergeCell ref="A4:K4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45"/>
  <sheetViews>
    <sheetView zoomScale="85" zoomScaleNormal="85" workbookViewId="0">
      <selection activeCell="C9" sqref="C9:C13"/>
    </sheetView>
  </sheetViews>
  <sheetFormatPr defaultColWidth="9.109375" defaultRowHeight="13.2" x14ac:dyDescent="0.25"/>
  <cols>
    <col min="1" max="1" width="7" style="10" customWidth="1"/>
    <col min="2" max="2" width="11.109375" style="10" customWidth="1"/>
    <col min="3" max="6" width="8.6640625" style="10" customWidth="1"/>
    <col min="7" max="7" width="8.6640625" style="27" customWidth="1"/>
    <col min="8" max="9" width="9.109375" style="1" customWidth="1"/>
    <col min="10" max="10" width="13.109375" style="1" customWidth="1"/>
    <col min="11" max="11" width="24.44140625" style="1" customWidth="1"/>
    <col min="12" max="12" width="9.109375" style="1" customWidth="1"/>
    <col min="13" max="13" width="12" style="1" customWidth="1"/>
    <col min="14" max="14" width="9.109375" style="1" customWidth="1"/>
    <col min="15" max="15" width="13.88671875" style="1" customWidth="1"/>
    <col min="16" max="17" width="9.109375" style="1" customWidth="1"/>
    <col min="18" max="16384" width="9.109375" style="1"/>
  </cols>
  <sheetData>
    <row r="1" spans="1:16" x14ac:dyDescent="0.25">
      <c r="A1" s="328" t="s">
        <v>2</v>
      </c>
      <c r="B1" s="328"/>
      <c r="C1" s="328"/>
      <c r="D1" s="328"/>
      <c r="E1" s="328"/>
      <c r="F1" s="328"/>
      <c r="G1" s="328"/>
    </row>
    <row r="2" spans="1:16" x14ac:dyDescent="0.25">
      <c r="A2" s="271" t="s">
        <v>64</v>
      </c>
      <c r="B2" s="271"/>
      <c r="C2" s="271"/>
      <c r="D2" s="271"/>
      <c r="E2" s="271"/>
      <c r="F2" s="271"/>
      <c r="G2" s="271"/>
    </row>
    <row r="3" spans="1:16" ht="26.4" x14ac:dyDescent="0.25">
      <c r="A3" s="2"/>
      <c r="B3" s="12"/>
      <c r="C3" s="6" t="s">
        <v>65</v>
      </c>
      <c r="D3" s="13" t="s">
        <v>69</v>
      </c>
      <c r="E3" s="13" t="s">
        <v>68</v>
      </c>
      <c r="F3" s="13" t="s">
        <v>67</v>
      </c>
      <c r="G3" s="15" t="s">
        <v>3</v>
      </c>
      <c r="J3" s="1" t="s">
        <v>36</v>
      </c>
      <c r="K3" s="1" t="s">
        <v>20</v>
      </c>
      <c r="L3" s="1" t="s">
        <v>35</v>
      </c>
    </row>
    <row r="4" spans="1:16" x14ac:dyDescent="0.25">
      <c r="A4" s="2" t="s">
        <v>0</v>
      </c>
      <c r="B4" s="14" t="s">
        <v>5</v>
      </c>
      <c r="C4" s="3" t="s">
        <v>4</v>
      </c>
      <c r="D4" s="3" t="s">
        <v>4</v>
      </c>
      <c r="E4" s="3" t="s">
        <v>4</v>
      </c>
      <c r="F4" s="3" t="s">
        <v>4</v>
      </c>
      <c r="G4" s="25" t="s">
        <v>4</v>
      </c>
      <c r="O4" s="1" t="s">
        <v>66</v>
      </c>
    </row>
    <row r="5" spans="1:16" x14ac:dyDescent="0.25">
      <c r="A5" s="2">
        <v>1</v>
      </c>
      <c r="B5" s="12" t="s">
        <v>21</v>
      </c>
      <c r="C5" s="25">
        <f>P5/100*34</f>
        <v>40.180350000000004</v>
      </c>
      <c r="D5" s="25">
        <f>P5/100*66</f>
        <v>77.997150000000005</v>
      </c>
      <c r="E5" s="25"/>
      <c r="F5" s="25"/>
      <c r="G5" s="25">
        <f>SUM(C5:F5)</f>
        <v>118.17750000000001</v>
      </c>
      <c r="J5" s="1" t="s">
        <v>39</v>
      </c>
      <c r="K5" s="1">
        <v>31886.4221</v>
      </c>
      <c r="L5" s="1">
        <v>4000</v>
      </c>
      <c r="M5" s="8">
        <f>ROUND(K5*L5/1000000, 2)</f>
        <v>127.55</v>
      </c>
      <c r="O5" s="1">
        <v>15</v>
      </c>
      <c r="P5" s="8">
        <f>(M5-O5) / 100 * 5 + (M5-O5)</f>
        <v>118.17749999999999</v>
      </c>
    </row>
    <row r="6" spans="1:16" x14ac:dyDescent="0.25">
      <c r="A6" s="2">
        <v>2</v>
      </c>
      <c r="B6" s="12" t="s">
        <v>22</v>
      </c>
      <c r="C6" s="25">
        <f t="shared" ref="C6:C44" si="0">P6/100*34</f>
        <v>38.67024</v>
      </c>
      <c r="D6" s="25">
        <f t="shared" ref="D6:D44" si="1">P6/100*66</f>
        <v>75.065759999999997</v>
      </c>
      <c r="E6" s="25"/>
      <c r="F6" s="25"/>
      <c r="G6" s="25">
        <f t="shared" ref="G6:G44" si="2">SUM(C6:F6)</f>
        <v>113.73599999999999</v>
      </c>
      <c r="K6" s="1">
        <v>30830.7402</v>
      </c>
      <c r="L6" s="1">
        <v>4000</v>
      </c>
      <c r="M6" s="8">
        <f t="shared" ref="M6:M44" si="3">ROUND(K6*L6/1000000, 2)</f>
        <v>123.32</v>
      </c>
      <c r="O6" s="1">
        <v>15</v>
      </c>
      <c r="P6" s="8">
        <f t="shared" ref="P6:P44" si="4">(M6-O6) / 100 * 5 + (M6-O6)</f>
        <v>113.73599999999999</v>
      </c>
    </row>
    <row r="7" spans="1:16" x14ac:dyDescent="0.25">
      <c r="A7" s="2">
        <v>3</v>
      </c>
      <c r="B7" s="12" t="s">
        <v>23</v>
      </c>
      <c r="C7" s="25">
        <f t="shared" si="0"/>
        <v>41.651189999999993</v>
      </c>
      <c r="D7" s="25">
        <f t="shared" si="1"/>
        <v>80.852309999999989</v>
      </c>
      <c r="E7" s="25"/>
      <c r="F7" s="25"/>
      <c r="G7" s="25">
        <f t="shared" si="2"/>
        <v>122.50349999999997</v>
      </c>
      <c r="K7" s="1">
        <v>32917.396500000003</v>
      </c>
      <c r="L7" s="1">
        <v>4000</v>
      </c>
      <c r="M7" s="8">
        <f t="shared" si="3"/>
        <v>131.66999999999999</v>
      </c>
      <c r="O7" s="1">
        <v>15</v>
      </c>
      <c r="P7" s="8">
        <f t="shared" si="4"/>
        <v>122.50349999999999</v>
      </c>
    </row>
    <row r="8" spans="1:16" x14ac:dyDescent="0.25">
      <c r="A8" s="2">
        <v>4</v>
      </c>
      <c r="B8" s="12" t="s">
        <v>24</v>
      </c>
      <c r="C8" s="25">
        <f t="shared" si="0"/>
        <v>106.96433999999999</v>
      </c>
      <c r="D8" s="25">
        <f t="shared" si="1"/>
        <v>207.63666000000001</v>
      </c>
      <c r="E8" s="25"/>
      <c r="F8" s="25"/>
      <c r="G8" s="25">
        <f t="shared" si="2"/>
        <v>314.601</v>
      </c>
      <c r="K8" s="1">
        <v>78654.636299999998</v>
      </c>
      <c r="L8" s="1">
        <v>4000</v>
      </c>
      <c r="M8" s="8">
        <f t="shared" si="3"/>
        <v>314.62</v>
      </c>
      <c r="O8" s="1">
        <v>15</v>
      </c>
      <c r="P8" s="8">
        <f t="shared" si="4"/>
        <v>314.601</v>
      </c>
    </row>
    <row r="9" spans="1:16" x14ac:dyDescent="0.25">
      <c r="A9" s="2">
        <v>5</v>
      </c>
      <c r="B9" s="12" t="s">
        <v>25</v>
      </c>
      <c r="C9" s="25">
        <f t="shared" si="0"/>
        <v>10.074540000000001</v>
      </c>
      <c r="D9" s="25">
        <f t="shared" si="1"/>
        <v>19.556460000000001</v>
      </c>
      <c r="E9" s="25"/>
      <c r="F9" s="25"/>
      <c r="G9" s="25">
        <f t="shared" si="2"/>
        <v>29.631</v>
      </c>
      <c r="K9" s="1">
        <v>12056</v>
      </c>
      <c r="L9" s="1">
        <v>4000</v>
      </c>
      <c r="M9" s="8">
        <f t="shared" si="3"/>
        <v>48.22</v>
      </c>
      <c r="O9" s="1">
        <v>20</v>
      </c>
      <c r="P9" s="8">
        <f t="shared" si="4"/>
        <v>29.631</v>
      </c>
    </row>
    <row r="10" spans="1:16" x14ac:dyDescent="0.25">
      <c r="A10" s="2">
        <v>6</v>
      </c>
      <c r="B10" s="12" t="s">
        <v>26</v>
      </c>
      <c r="C10" s="25">
        <f t="shared" si="0"/>
        <v>36.303329999999995</v>
      </c>
      <c r="D10" s="25">
        <f t="shared" si="1"/>
        <v>70.471170000000001</v>
      </c>
      <c r="E10" s="25"/>
      <c r="F10" s="25"/>
      <c r="G10" s="25">
        <f t="shared" si="2"/>
        <v>106.77449999999999</v>
      </c>
      <c r="K10" s="1">
        <v>30423</v>
      </c>
      <c r="L10" s="1">
        <v>4000</v>
      </c>
      <c r="M10" s="8">
        <f t="shared" si="3"/>
        <v>121.69</v>
      </c>
      <c r="O10" s="1">
        <v>20</v>
      </c>
      <c r="P10" s="8">
        <f t="shared" si="4"/>
        <v>106.7745</v>
      </c>
    </row>
    <row r="11" spans="1:16" x14ac:dyDescent="0.25">
      <c r="A11" s="2">
        <v>7</v>
      </c>
      <c r="B11" s="12" t="s">
        <v>27</v>
      </c>
      <c r="C11" s="25">
        <f t="shared" si="0"/>
        <v>37.913399999999996</v>
      </c>
      <c r="D11" s="25">
        <f t="shared" si="1"/>
        <v>73.596599999999995</v>
      </c>
      <c r="E11" s="25"/>
      <c r="F11" s="25"/>
      <c r="G11" s="25">
        <f t="shared" si="2"/>
        <v>111.50999999999999</v>
      </c>
      <c r="K11" s="1">
        <v>31549</v>
      </c>
      <c r="L11" s="1">
        <v>4000</v>
      </c>
      <c r="M11" s="8">
        <f t="shared" si="3"/>
        <v>126.2</v>
      </c>
      <c r="O11" s="1">
        <v>20</v>
      </c>
      <c r="P11" s="8">
        <f t="shared" si="4"/>
        <v>111.51</v>
      </c>
    </row>
    <row r="12" spans="1:16" x14ac:dyDescent="0.25">
      <c r="A12" s="2">
        <v>8</v>
      </c>
      <c r="B12" s="12" t="s">
        <v>28</v>
      </c>
      <c r="C12" s="25">
        <f t="shared" si="0"/>
        <v>36.303329999999995</v>
      </c>
      <c r="D12" s="25">
        <f t="shared" si="1"/>
        <v>70.471170000000001</v>
      </c>
      <c r="E12" s="25"/>
      <c r="F12" s="25"/>
      <c r="G12" s="25">
        <f t="shared" si="2"/>
        <v>106.77449999999999</v>
      </c>
      <c r="K12" s="1">
        <v>30423</v>
      </c>
      <c r="L12" s="1">
        <v>4000</v>
      </c>
      <c r="M12" s="8">
        <f t="shared" si="3"/>
        <v>121.69</v>
      </c>
      <c r="O12" s="1">
        <v>20</v>
      </c>
      <c r="P12" s="8">
        <f t="shared" si="4"/>
        <v>106.7745</v>
      </c>
    </row>
    <row r="13" spans="1:16" x14ac:dyDescent="0.25">
      <c r="A13" s="2">
        <v>9</v>
      </c>
      <c r="B13" s="12" t="s">
        <v>29</v>
      </c>
      <c r="C13" s="25">
        <f t="shared" si="0"/>
        <v>31.630200000000002</v>
      </c>
      <c r="D13" s="25">
        <f t="shared" si="1"/>
        <v>61.399799999999999</v>
      </c>
      <c r="E13" s="25"/>
      <c r="F13" s="25"/>
      <c r="G13" s="25">
        <f t="shared" si="2"/>
        <v>93.03</v>
      </c>
      <c r="K13" s="1">
        <v>27149</v>
      </c>
      <c r="L13" s="1">
        <v>4000</v>
      </c>
      <c r="M13" s="8">
        <f t="shared" si="3"/>
        <v>108.6</v>
      </c>
      <c r="O13" s="1">
        <v>20</v>
      </c>
      <c r="P13" s="8">
        <f t="shared" si="4"/>
        <v>93.03</v>
      </c>
    </row>
    <row r="14" spans="1:16" x14ac:dyDescent="0.25">
      <c r="A14" s="2">
        <v>10</v>
      </c>
      <c r="B14" s="12" t="s">
        <v>30</v>
      </c>
      <c r="C14" s="25">
        <f t="shared" si="0"/>
        <v>36.256920000000001</v>
      </c>
      <c r="D14" s="25">
        <f>P14/100*66</f>
        <v>70.381080000000011</v>
      </c>
      <c r="E14" s="25"/>
      <c r="F14" s="25"/>
      <c r="G14" s="25">
        <f t="shared" si="2"/>
        <v>106.63800000000001</v>
      </c>
      <c r="K14" s="1">
        <v>30390</v>
      </c>
      <c r="L14" s="1">
        <v>4000</v>
      </c>
      <c r="M14" s="8">
        <f t="shared" si="3"/>
        <v>121.56</v>
      </c>
      <c r="O14" s="1">
        <v>20</v>
      </c>
      <c r="P14" s="8">
        <f t="shared" si="4"/>
        <v>106.63800000000001</v>
      </c>
    </row>
    <row r="15" spans="1:16" x14ac:dyDescent="0.25">
      <c r="A15" s="2">
        <v>11</v>
      </c>
      <c r="B15" s="12" t="s">
        <v>31</v>
      </c>
      <c r="C15" s="25">
        <f t="shared" si="0"/>
        <v>79.807350000000014</v>
      </c>
      <c r="D15" s="25">
        <f t="shared" si="1"/>
        <v>154.92015000000001</v>
      </c>
      <c r="E15" s="25"/>
      <c r="F15" s="25"/>
      <c r="G15" s="25">
        <f t="shared" si="2"/>
        <v>234.72750000000002</v>
      </c>
      <c r="K15" s="1">
        <v>59638</v>
      </c>
      <c r="L15" s="1">
        <v>4000</v>
      </c>
      <c r="M15" s="8">
        <f t="shared" si="3"/>
        <v>238.55</v>
      </c>
      <c r="O15" s="1">
        <v>15</v>
      </c>
      <c r="P15" s="8">
        <f t="shared" si="4"/>
        <v>234.72750000000002</v>
      </c>
    </row>
    <row r="16" spans="1:16" x14ac:dyDescent="0.25">
      <c r="A16" s="2">
        <v>12</v>
      </c>
      <c r="B16" s="12" t="s">
        <v>32</v>
      </c>
      <c r="C16" s="25">
        <f t="shared" si="0"/>
        <v>28.288679999999999</v>
      </c>
      <c r="D16" s="25">
        <f t="shared" si="1"/>
        <v>54.913319999999999</v>
      </c>
      <c r="E16" s="25"/>
      <c r="F16" s="25"/>
      <c r="G16" s="25">
        <f t="shared" si="2"/>
        <v>83.201999999999998</v>
      </c>
      <c r="K16" s="1">
        <v>24809</v>
      </c>
      <c r="L16" s="1">
        <v>4000</v>
      </c>
      <c r="M16" s="8">
        <f t="shared" si="3"/>
        <v>99.24</v>
      </c>
      <c r="O16" s="1">
        <v>20</v>
      </c>
      <c r="P16" s="8">
        <f t="shared" si="4"/>
        <v>83.201999999999998</v>
      </c>
    </row>
    <row r="17" spans="1:16" x14ac:dyDescent="0.25">
      <c r="A17" s="2">
        <v>13</v>
      </c>
      <c r="B17" s="12" t="s">
        <v>33</v>
      </c>
      <c r="C17" s="25"/>
      <c r="D17" s="25"/>
      <c r="E17" s="25"/>
      <c r="F17" s="25">
        <v>69.489999999999995</v>
      </c>
      <c r="G17" s="25">
        <f t="shared" si="2"/>
        <v>69.489999999999995</v>
      </c>
      <c r="J17" s="1" t="s">
        <v>67</v>
      </c>
      <c r="K17" s="1">
        <v>18723</v>
      </c>
      <c r="L17" s="1">
        <v>4000</v>
      </c>
      <c r="M17" s="8">
        <f t="shared" si="3"/>
        <v>74.89</v>
      </c>
      <c r="O17" s="1">
        <v>5.4</v>
      </c>
      <c r="P17" s="8">
        <f t="shared" si="4"/>
        <v>72.964500000000001</v>
      </c>
    </row>
    <row r="18" spans="1:16" x14ac:dyDescent="0.25">
      <c r="A18" s="2">
        <v>14</v>
      </c>
      <c r="B18" s="12" t="s">
        <v>34</v>
      </c>
      <c r="C18" s="25"/>
      <c r="D18" s="25"/>
      <c r="E18" s="25"/>
      <c r="F18" s="25">
        <v>87.929999999999993</v>
      </c>
      <c r="G18" s="25">
        <f t="shared" si="2"/>
        <v>87.929999999999993</v>
      </c>
      <c r="J18" s="1" t="s">
        <v>67</v>
      </c>
      <c r="K18" s="1">
        <v>23333</v>
      </c>
      <c r="L18" s="1">
        <v>4000</v>
      </c>
      <c r="M18" s="8">
        <f t="shared" si="3"/>
        <v>93.33</v>
      </c>
      <c r="O18" s="1">
        <v>5.4</v>
      </c>
      <c r="P18" s="8">
        <f t="shared" si="4"/>
        <v>92.326499999999996</v>
      </c>
    </row>
    <row r="19" spans="1:16" x14ac:dyDescent="0.25">
      <c r="A19" s="2">
        <v>15</v>
      </c>
      <c r="B19" s="12" t="s">
        <v>37</v>
      </c>
      <c r="C19" s="25"/>
      <c r="D19" s="25"/>
      <c r="E19" s="25"/>
      <c r="F19" s="25">
        <v>33.979999999999997</v>
      </c>
      <c r="G19" s="25">
        <f t="shared" si="2"/>
        <v>33.979999999999997</v>
      </c>
      <c r="J19" s="1" t="s">
        <v>67</v>
      </c>
      <c r="K19" s="1">
        <v>8495</v>
      </c>
      <c r="L19" s="1">
        <v>4000</v>
      </c>
      <c r="M19" s="8">
        <f t="shared" si="3"/>
        <v>33.979999999999997</v>
      </c>
      <c r="P19" s="8">
        <f t="shared" si="4"/>
        <v>35.678999999999995</v>
      </c>
    </row>
    <row r="20" spans="1:16" x14ac:dyDescent="0.25">
      <c r="A20" s="2">
        <v>16</v>
      </c>
      <c r="B20" s="12" t="s">
        <v>38</v>
      </c>
      <c r="C20" s="25"/>
      <c r="D20" s="25"/>
      <c r="E20" s="25"/>
      <c r="F20" s="25">
        <v>16.399999999999999</v>
      </c>
      <c r="G20" s="25">
        <f t="shared" si="2"/>
        <v>16.399999999999999</v>
      </c>
      <c r="J20" s="1" t="s">
        <v>67</v>
      </c>
      <c r="K20" s="1">
        <v>4100</v>
      </c>
      <c r="L20" s="1">
        <v>4000</v>
      </c>
      <c r="M20" s="8">
        <f t="shared" si="3"/>
        <v>16.399999999999999</v>
      </c>
      <c r="P20" s="8">
        <f t="shared" si="4"/>
        <v>17.22</v>
      </c>
    </row>
    <row r="21" spans="1:16" x14ac:dyDescent="0.25">
      <c r="A21" s="2">
        <v>17</v>
      </c>
      <c r="B21" s="12" t="s">
        <v>40</v>
      </c>
      <c r="C21" s="25"/>
      <c r="D21" s="25"/>
      <c r="E21" s="25">
        <v>36.46</v>
      </c>
      <c r="F21" s="25"/>
      <c r="G21" s="25">
        <f t="shared" si="2"/>
        <v>36.46</v>
      </c>
      <c r="J21" s="1" t="s">
        <v>68</v>
      </c>
      <c r="K21" s="1">
        <v>9115</v>
      </c>
      <c r="L21" s="1">
        <v>4000</v>
      </c>
      <c r="M21" s="8">
        <f t="shared" si="3"/>
        <v>36.46</v>
      </c>
      <c r="P21" s="8">
        <f t="shared" si="4"/>
        <v>38.283000000000001</v>
      </c>
    </row>
    <row r="22" spans="1:16" x14ac:dyDescent="0.25">
      <c r="A22" s="2">
        <v>18</v>
      </c>
      <c r="B22" s="12" t="s">
        <v>56</v>
      </c>
      <c r="C22" s="25">
        <f t="shared" si="0"/>
        <v>96.579210000000003</v>
      </c>
      <c r="D22" s="25">
        <f t="shared" si="1"/>
        <v>187.47729000000001</v>
      </c>
      <c r="E22" s="25"/>
      <c r="F22" s="25"/>
      <c r="G22" s="25">
        <f t="shared" si="2"/>
        <v>284.05650000000003</v>
      </c>
      <c r="K22" s="1">
        <v>68290</v>
      </c>
      <c r="L22" s="1">
        <v>4001</v>
      </c>
      <c r="M22" s="8">
        <f t="shared" si="3"/>
        <v>273.23</v>
      </c>
      <c r="O22" s="1">
        <v>2.7</v>
      </c>
      <c r="P22" s="8">
        <f t="shared" si="4"/>
        <v>284.05650000000003</v>
      </c>
    </row>
    <row r="23" spans="1:16" x14ac:dyDescent="0.25">
      <c r="A23" s="2">
        <v>19</v>
      </c>
      <c r="B23" s="12" t="s">
        <v>42</v>
      </c>
      <c r="C23" s="25">
        <f t="shared" si="0"/>
        <v>152.13198</v>
      </c>
      <c r="D23" s="25">
        <f t="shared" si="1"/>
        <v>295.31502</v>
      </c>
      <c r="E23" s="25"/>
      <c r="F23" s="25"/>
      <c r="G23" s="25">
        <f t="shared" si="2"/>
        <v>447.447</v>
      </c>
      <c r="K23" s="1">
        <v>107884</v>
      </c>
      <c r="L23" s="1">
        <v>4000</v>
      </c>
      <c r="M23" s="8">
        <f t="shared" si="3"/>
        <v>431.54</v>
      </c>
      <c r="O23" s="1">
        <v>5.4</v>
      </c>
      <c r="P23" s="8">
        <f t="shared" si="4"/>
        <v>447.44700000000006</v>
      </c>
    </row>
    <row r="24" spans="1:16" x14ac:dyDescent="0.25">
      <c r="A24" s="2">
        <v>20</v>
      </c>
      <c r="B24" s="12" t="s">
        <v>43</v>
      </c>
      <c r="C24" s="25">
        <f t="shared" si="0"/>
        <v>18.078479999999999</v>
      </c>
      <c r="D24" s="25">
        <f t="shared" si="1"/>
        <v>35.093519999999998</v>
      </c>
      <c r="E24" s="25"/>
      <c r="F24" s="25"/>
      <c r="G24" s="25">
        <f t="shared" si="2"/>
        <v>53.171999999999997</v>
      </c>
      <c r="K24" s="1">
        <v>12659</v>
      </c>
      <c r="L24" s="1">
        <v>4000</v>
      </c>
      <c r="M24" s="8">
        <f t="shared" si="3"/>
        <v>50.64</v>
      </c>
      <c r="P24" s="8">
        <f t="shared" si="4"/>
        <v>53.171999999999997</v>
      </c>
    </row>
    <row r="25" spans="1:16" x14ac:dyDescent="0.25">
      <c r="A25" s="2">
        <v>21</v>
      </c>
      <c r="B25" s="12" t="s">
        <v>44</v>
      </c>
      <c r="C25" s="25"/>
      <c r="D25" s="25"/>
      <c r="E25" s="25"/>
      <c r="F25" s="25">
        <v>29.16</v>
      </c>
      <c r="G25" s="25">
        <f t="shared" si="2"/>
        <v>29.16</v>
      </c>
      <c r="J25" s="1" t="s">
        <v>67</v>
      </c>
      <c r="K25" s="1">
        <v>7290</v>
      </c>
      <c r="L25" s="1">
        <v>4000</v>
      </c>
      <c r="M25" s="8">
        <f t="shared" si="3"/>
        <v>29.16</v>
      </c>
      <c r="P25" s="8">
        <f t="shared" si="4"/>
        <v>30.618000000000002</v>
      </c>
    </row>
    <row r="26" spans="1:16" x14ac:dyDescent="0.25">
      <c r="A26" s="2">
        <v>22</v>
      </c>
      <c r="B26" s="12" t="s">
        <v>45</v>
      </c>
      <c r="C26" s="25"/>
      <c r="D26" s="25"/>
      <c r="E26" s="25"/>
      <c r="F26" s="25">
        <v>35.47</v>
      </c>
      <c r="G26" s="25">
        <f t="shared" si="2"/>
        <v>35.47</v>
      </c>
      <c r="J26" s="1" t="s">
        <v>67</v>
      </c>
      <c r="K26" s="1">
        <v>8867</v>
      </c>
      <c r="L26" s="1">
        <v>4000</v>
      </c>
      <c r="M26" s="8">
        <f t="shared" si="3"/>
        <v>35.47</v>
      </c>
      <c r="P26" s="8">
        <f t="shared" si="4"/>
        <v>37.243499999999997</v>
      </c>
    </row>
    <row r="27" spans="1:16" x14ac:dyDescent="0.25">
      <c r="A27" s="2">
        <v>23</v>
      </c>
      <c r="B27" s="12" t="s">
        <v>46</v>
      </c>
      <c r="C27" s="25"/>
      <c r="D27" s="25"/>
      <c r="E27" s="25"/>
      <c r="F27" s="25">
        <v>48.34</v>
      </c>
      <c r="G27" s="25">
        <f t="shared" si="2"/>
        <v>48.34</v>
      </c>
      <c r="J27" s="1" t="s">
        <v>67</v>
      </c>
      <c r="K27" s="1">
        <v>12084</v>
      </c>
      <c r="L27" s="1">
        <v>4000</v>
      </c>
      <c r="M27" s="8">
        <f t="shared" si="3"/>
        <v>48.34</v>
      </c>
      <c r="P27" s="8">
        <f t="shared" si="4"/>
        <v>50.757000000000005</v>
      </c>
    </row>
    <row r="28" spans="1:16" x14ac:dyDescent="0.25">
      <c r="A28" s="2">
        <v>24</v>
      </c>
      <c r="B28" s="12" t="s">
        <v>47</v>
      </c>
      <c r="C28" s="25">
        <f t="shared" si="0"/>
        <v>15.693719999999999</v>
      </c>
      <c r="D28" s="25">
        <f t="shared" si="1"/>
        <v>30.464279999999999</v>
      </c>
      <c r="E28" s="25"/>
      <c r="F28" s="25"/>
      <c r="G28" s="25">
        <f t="shared" si="2"/>
        <v>46.158000000000001</v>
      </c>
      <c r="K28" s="1">
        <f>5400+3590+2000</f>
        <v>10990</v>
      </c>
      <c r="L28" s="1">
        <v>4000</v>
      </c>
      <c r="M28" s="8">
        <f t="shared" si="3"/>
        <v>43.96</v>
      </c>
      <c r="P28" s="8">
        <f t="shared" si="4"/>
        <v>46.158000000000001</v>
      </c>
    </row>
    <row r="29" spans="1:16" x14ac:dyDescent="0.25">
      <c r="A29" s="2">
        <v>25</v>
      </c>
      <c r="B29" s="12" t="s">
        <v>48</v>
      </c>
      <c r="C29" s="25"/>
      <c r="D29" s="25"/>
      <c r="E29" s="25"/>
      <c r="F29" s="25">
        <v>35.200000000000003</v>
      </c>
      <c r="G29" s="25">
        <f t="shared" si="2"/>
        <v>35.200000000000003</v>
      </c>
      <c r="J29" s="1" t="s">
        <v>67</v>
      </c>
      <c r="K29" s="1">
        <v>8800</v>
      </c>
      <c r="L29" s="1">
        <v>4000</v>
      </c>
      <c r="M29" s="8">
        <f t="shared" si="3"/>
        <v>35.200000000000003</v>
      </c>
      <c r="P29" s="8">
        <f t="shared" si="4"/>
        <v>36.96</v>
      </c>
    </row>
    <row r="30" spans="1:16" x14ac:dyDescent="0.25">
      <c r="A30" s="2">
        <v>26</v>
      </c>
      <c r="B30" s="12" t="s">
        <v>49</v>
      </c>
      <c r="C30" s="25"/>
      <c r="D30" s="25"/>
      <c r="E30" s="25"/>
      <c r="F30" s="25">
        <v>63.16</v>
      </c>
      <c r="G30" s="25">
        <f t="shared" si="2"/>
        <v>63.16</v>
      </c>
      <c r="J30" s="1" t="s">
        <v>67</v>
      </c>
      <c r="K30" s="1">
        <v>15790</v>
      </c>
      <c r="L30" s="1">
        <v>4000</v>
      </c>
      <c r="M30" s="8">
        <f t="shared" si="3"/>
        <v>63.16</v>
      </c>
      <c r="P30" s="8">
        <f t="shared" si="4"/>
        <v>66.317999999999998</v>
      </c>
    </row>
    <row r="31" spans="1:16" x14ac:dyDescent="0.25">
      <c r="A31" s="2">
        <v>27</v>
      </c>
      <c r="B31" s="12" t="s">
        <v>50</v>
      </c>
      <c r="C31" s="25"/>
      <c r="D31" s="25"/>
      <c r="E31" s="25">
        <v>13.12</v>
      </c>
      <c r="F31" s="25"/>
      <c r="G31" s="25">
        <f t="shared" si="2"/>
        <v>13.12</v>
      </c>
      <c r="J31" s="1" t="s">
        <v>68</v>
      </c>
      <c r="K31" s="1">
        <f>3240+40</f>
        <v>3280</v>
      </c>
      <c r="L31" s="1">
        <v>4000</v>
      </c>
      <c r="M31" s="8">
        <f t="shared" si="3"/>
        <v>13.12</v>
      </c>
      <c r="P31" s="8">
        <f t="shared" si="4"/>
        <v>13.776</v>
      </c>
    </row>
    <row r="32" spans="1:16" x14ac:dyDescent="0.25">
      <c r="A32" s="2">
        <v>28</v>
      </c>
      <c r="B32" s="12" t="s">
        <v>51</v>
      </c>
      <c r="C32" s="25"/>
      <c r="D32" s="25"/>
      <c r="E32" s="25">
        <v>12.8</v>
      </c>
      <c r="F32" s="25"/>
      <c r="G32" s="25">
        <f t="shared" si="2"/>
        <v>12.8</v>
      </c>
      <c r="J32" s="1" t="s">
        <v>68</v>
      </c>
      <c r="K32" s="1">
        <v>3200</v>
      </c>
      <c r="L32" s="1">
        <v>4000</v>
      </c>
      <c r="M32" s="8">
        <f t="shared" si="3"/>
        <v>12.8</v>
      </c>
      <c r="P32" s="8">
        <f t="shared" si="4"/>
        <v>13.440000000000001</v>
      </c>
    </row>
    <row r="33" spans="1:16" x14ac:dyDescent="0.25">
      <c r="A33" s="2">
        <v>29</v>
      </c>
      <c r="B33" s="12" t="s">
        <v>52</v>
      </c>
      <c r="C33" s="25">
        <f t="shared" si="0"/>
        <v>8.7465000000000011</v>
      </c>
      <c r="D33" s="25">
        <f t="shared" si="1"/>
        <v>16.978500000000004</v>
      </c>
      <c r="E33" s="25"/>
      <c r="F33" s="25"/>
      <c r="G33" s="25">
        <f t="shared" si="2"/>
        <v>25.725000000000005</v>
      </c>
      <c r="K33" s="1">
        <v>6124</v>
      </c>
      <c r="L33" s="1">
        <v>4000</v>
      </c>
      <c r="M33" s="8">
        <f t="shared" si="3"/>
        <v>24.5</v>
      </c>
      <c r="P33" s="8">
        <f t="shared" si="4"/>
        <v>25.725000000000001</v>
      </c>
    </row>
    <row r="34" spans="1:16" x14ac:dyDescent="0.25">
      <c r="A34" s="2">
        <v>30</v>
      </c>
      <c r="B34" s="12" t="s">
        <v>53</v>
      </c>
      <c r="C34" s="25"/>
      <c r="D34" s="25"/>
      <c r="E34" s="25"/>
      <c r="F34" s="25">
        <v>44.08</v>
      </c>
      <c r="G34" s="25">
        <f t="shared" si="2"/>
        <v>44.08</v>
      </c>
      <c r="J34" s="1" t="s">
        <v>67</v>
      </c>
      <c r="K34" s="1">
        <v>11020</v>
      </c>
      <c r="L34" s="1">
        <v>4000</v>
      </c>
      <c r="M34" s="8">
        <f t="shared" si="3"/>
        <v>44.08</v>
      </c>
      <c r="P34" s="8">
        <f t="shared" si="4"/>
        <v>46.283999999999999</v>
      </c>
    </row>
    <row r="35" spans="1:16" x14ac:dyDescent="0.25">
      <c r="A35" s="2">
        <v>31</v>
      </c>
      <c r="B35" s="12" t="s">
        <v>54</v>
      </c>
      <c r="C35" s="25"/>
      <c r="D35" s="25"/>
      <c r="E35" s="25"/>
      <c r="F35" s="25">
        <v>33.04</v>
      </c>
      <c r="G35" s="25">
        <f t="shared" si="2"/>
        <v>33.04</v>
      </c>
      <c r="J35" s="1" t="s">
        <v>67</v>
      </c>
      <c r="K35" s="1">
        <v>8260</v>
      </c>
      <c r="L35" s="1">
        <v>4000</v>
      </c>
      <c r="M35" s="8">
        <f t="shared" si="3"/>
        <v>33.04</v>
      </c>
      <c r="P35" s="8">
        <f t="shared" si="4"/>
        <v>34.692</v>
      </c>
    </row>
    <row r="36" spans="1:16" x14ac:dyDescent="0.25">
      <c r="A36" s="2">
        <v>32</v>
      </c>
      <c r="B36" s="12" t="s">
        <v>55</v>
      </c>
      <c r="C36" s="25">
        <f t="shared" si="0"/>
        <v>10.967040000000001</v>
      </c>
      <c r="D36" s="25">
        <f t="shared" si="1"/>
        <v>21.288959999999999</v>
      </c>
      <c r="E36" s="25"/>
      <c r="F36" s="25"/>
      <c r="G36" s="25">
        <f t="shared" si="2"/>
        <v>32.256</v>
      </c>
      <c r="K36" s="1">
        <v>7681</v>
      </c>
      <c r="L36" s="1">
        <v>4000</v>
      </c>
      <c r="M36" s="8">
        <f t="shared" si="3"/>
        <v>30.72</v>
      </c>
      <c r="P36" s="8">
        <f t="shared" si="4"/>
        <v>32.256</v>
      </c>
    </row>
    <row r="37" spans="1:16" x14ac:dyDescent="0.25">
      <c r="A37" s="2">
        <v>33</v>
      </c>
      <c r="B37" s="12" t="s">
        <v>57</v>
      </c>
      <c r="C37" s="25">
        <f t="shared" si="0"/>
        <v>19.535039999999999</v>
      </c>
      <c r="D37" s="25">
        <f t="shared" si="1"/>
        <v>37.920959999999994</v>
      </c>
      <c r="E37" s="25"/>
      <c r="F37" s="25"/>
      <c r="G37" s="25">
        <f t="shared" si="2"/>
        <v>57.455999999999989</v>
      </c>
      <c r="K37" s="1">
        <v>13680</v>
      </c>
      <c r="L37" s="1">
        <v>4000</v>
      </c>
      <c r="M37" s="8">
        <f t="shared" si="3"/>
        <v>54.72</v>
      </c>
      <c r="P37" s="8">
        <f t="shared" si="4"/>
        <v>57.455999999999996</v>
      </c>
    </row>
    <row r="38" spans="1:16" x14ac:dyDescent="0.25">
      <c r="A38" s="2">
        <v>34</v>
      </c>
      <c r="B38" s="12" t="s">
        <v>58</v>
      </c>
      <c r="C38" s="25"/>
      <c r="D38" s="25"/>
      <c r="E38" s="25"/>
      <c r="F38" s="25">
        <v>15.6</v>
      </c>
      <c r="G38" s="25">
        <f t="shared" si="2"/>
        <v>15.6</v>
      </c>
      <c r="J38" s="1" t="s">
        <v>67</v>
      </c>
      <c r="K38" s="1">
        <v>3900</v>
      </c>
      <c r="L38" s="1">
        <v>4000</v>
      </c>
      <c r="M38" s="8">
        <f t="shared" si="3"/>
        <v>15.6</v>
      </c>
      <c r="P38" s="8">
        <f t="shared" si="4"/>
        <v>16.38</v>
      </c>
    </row>
    <row r="39" spans="1:16" x14ac:dyDescent="0.25">
      <c r="A39" s="2">
        <v>35</v>
      </c>
      <c r="B39" s="12" t="s">
        <v>59</v>
      </c>
      <c r="C39" s="25"/>
      <c r="D39" s="25"/>
      <c r="E39" s="25"/>
      <c r="F39" s="25">
        <v>42.99</v>
      </c>
      <c r="G39" s="25">
        <f t="shared" si="2"/>
        <v>42.99</v>
      </c>
      <c r="J39" s="1" t="s">
        <v>67</v>
      </c>
      <c r="K39" s="1">
        <v>10748</v>
      </c>
      <c r="L39" s="1">
        <v>4000</v>
      </c>
      <c r="M39" s="8">
        <f t="shared" si="3"/>
        <v>42.99</v>
      </c>
      <c r="P39" s="8">
        <f t="shared" si="4"/>
        <v>45.139500000000005</v>
      </c>
    </row>
    <row r="40" spans="1:16" x14ac:dyDescent="0.25">
      <c r="A40" s="2">
        <v>36</v>
      </c>
      <c r="B40" s="12" t="s">
        <v>60</v>
      </c>
      <c r="C40" s="25">
        <f t="shared" si="0"/>
        <v>11.352600000000002</v>
      </c>
      <c r="D40" s="25">
        <f t="shared" si="1"/>
        <v>22.037400000000005</v>
      </c>
      <c r="E40" s="25"/>
      <c r="F40" s="25"/>
      <c r="G40" s="25">
        <f t="shared" si="2"/>
        <v>33.390000000000008</v>
      </c>
      <c r="K40" s="1">
        <f>7500+1800</f>
        <v>9300</v>
      </c>
      <c r="L40" s="1">
        <v>4000</v>
      </c>
      <c r="M40" s="8">
        <f t="shared" si="3"/>
        <v>37.200000000000003</v>
      </c>
      <c r="O40" s="1">
        <v>5.4</v>
      </c>
      <c r="P40" s="8">
        <f t="shared" si="4"/>
        <v>33.390000000000008</v>
      </c>
    </row>
    <row r="41" spans="1:16" x14ac:dyDescent="0.25">
      <c r="A41" s="2">
        <v>37</v>
      </c>
      <c r="B41" s="12" t="s">
        <v>61</v>
      </c>
      <c r="C41" s="25"/>
      <c r="D41" s="25"/>
      <c r="E41" s="25"/>
      <c r="F41" s="25">
        <v>22.84</v>
      </c>
      <c r="G41" s="25">
        <f>SUM(C41:F41)</f>
        <v>22.84</v>
      </c>
      <c r="J41" s="1" t="s">
        <v>67</v>
      </c>
      <c r="K41" s="1">
        <v>5710</v>
      </c>
      <c r="L41" s="1">
        <v>4000</v>
      </c>
      <c r="M41" s="8">
        <f t="shared" si="3"/>
        <v>22.84</v>
      </c>
      <c r="P41" s="8">
        <f t="shared" si="4"/>
        <v>23.981999999999999</v>
      </c>
    </row>
    <row r="42" spans="1:16" x14ac:dyDescent="0.25">
      <c r="A42" s="2">
        <v>38</v>
      </c>
      <c r="B42" s="12" t="s">
        <v>62</v>
      </c>
      <c r="C42" s="25"/>
      <c r="D42" s="25"/>
      <c r="E42" s="25"/>
      <c r="F42" s="25">
        <v>41.6</v>
      </c>
      <c r="G42" s="25">
        <f t="shared" si="2"/>
        <v>41.6</v>
      </c>
      <c r="J42" s="1" t="s">
        <v>67</v>
      </c>
      <c r="K42" s="1">
        <v>11750</v>
      </c>
      <c r="L42" s="1">
        <v>4000</v>
      </c>
      <c r="M42" s="8">
        <f t="shared" si="3"/>
        <v>47</v>
      </c>
      <c r="O42" s="1">
        <v>5.4</v>
      </c>
      <c r="P42" s="8">
        <f t="shared" si="4"/>
        <v>43.68</v>
      </c>
    </row>
    <row r="43" spans="1:16" x14ac:dyDescent="0.25">
      <c r="A43" s="2">
        <v>39</v>
      </c>
      <c r="B43" s="12" t="s">
        <v>63</v>
      </c>
      <c r="C43" s="25">
        <f t="shared" si="0"/>
        <v>35.94276</v>
      </c>
      <c r="D43" s="25">
        <f t="shared" si="1"/>
        <v>69.771239999999992</v>
      </c>
      <c r="E43" s="25"/>
      <c r="F43" s="25"/>
      <c r="G43" s="25">
        <f t="shared" si="2"/>
        <v>105.714</v>
      </c>
      <c r="K43" s="1">
        <v>26520</v>
      </c>
      <c r="L43" s="1">
        <v>4000</v>
      </c>
      <c r="M43" s="8">
        <f t="shared" si="3"/>
        <v>106.08</v>
      </c>
      <c r="O43" s="1">
        <v>5.4</v>
      </c>
      <c r="P43" s="8">
        <f t="shared" si="4"/>
        <v>105.714</v>
      </c>
    </row>
    <row r="44" spans="1:16" x14ac:dyDescent="0.25">
      <c r="A44" s="2">
        <v>40</v>
      </c>
      <c r="B44" s="12" t="s">
        <v>41</v>
      </c>
      <c r="C44" s="25">
        <f t="shared" si="0"/>
        <v>14.28</v>
      </c>
      <c r="D44" s="25">
        <f t="shared" si="1"/>
        <v>27.72</v>
      </c>
      <c r="E44" s="25"/>
      <c r="F44" s="25"/>
      <c r="G44" s="25">
        <f t="shared" si="2"/>
        <v>42</v>
      </c>
      <c r="K44" s="1">
        <v>10000</v>
      </c>
      <c r="L44" s="1">
        <v>4000</v>
      </c>
      <c r="M44" s="8">
        <f t="shared" si="3"/>
        <v>40</v>
      </c>
      <c r="P44" s="8">
        <f t="shared" si="4"/>
        <v>42</v>
      </c>
    </row>
    <row r="45" spans="1:16" x14ac:dyDescent="0.25">
      <c r="A45" s="2"/>
      <c r="B45" s="2" t="s">
        <v>19</v>
      </c>
      <c r="C45" s="25">
        <f>SUM(C5:C44)</f>
        <v>907.35119999999995</v>
      </c>
      <c r="D45" s="25">
        <f t="shared" ref="D45:F45" si="5">SUM(D5:D44)</f>
        <v>1761.3287999999998</v>
      </c>
      <c r="E45" s="25">
        <f t="shared" si="5"/>
        <v>62.379999999999995</v>
      </c>
      <c r="F45" s="25">
        <f t="shared" si="5"/>
        <v>619.28000000000009</v>
      </c>
      <c r="G45" s="25">
        <f>SUM(G5:G44)</f>
        <v>3350.3399999999992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E26"/>
  <sheetViews>
    <sheetView zoomScale="70" zoomScaleNormal="70" workbookViewId="0">
      <selection activeCell="F22" sqref="C22:F22"/>
    </sheetView>
  </sheetViews>
  <sheetFormatPr defaultColWidth="9.109375" defaultRowHeight="13.2" x14ac:dyDescent="0.25"/>
  <cols>
    <col min="1" max="1" width="7.5546875" style="10" customWidth="1"/>
    <col min="2" max="2" width="50.33203125" style="7" customWidth="1"/>
    <col min="3" max="3" width="9.109375" style="10" customWidth="1"/>
    <col min="4" max="4" width="14.5546875" style="23" customWidth="1"/>
    <col min="5" max="5" width="8.88671875" style="26" customWidth="1"/>
    <col min="6" max="16384" width="9.109375" style="1"/>
  </cols>
  <sheetData>
    <row r="1" spans="1:5" x14ac:dyDescent="0.25">
      <c r="A1" s="16"/>
      <c r="B1" s="17" t="s">
        <v>318</v>
      </c>
      <c r="C1" s="11"/>
      <c r="D1" s="22"/>
      <c r="E1" s="24"/>
    </row>
    <row r="2" spans="1:5" ht="13.8" thickBot="1" x14ac:dyDescent="0.3">
      <c r="A2" s="46" t="s">
        <v>0</v>
      </c>
      <c r="B2" s="47" t="s">
        <v>1</v>
      </c>
      <c r="C2" s="48" t="s">
        <v>15</v>
      </c>
      <c r="D2" s="49" t="s">
        <v>16</v>
      </c>
      <c r="E2" s="50" t="s">
        <v>8</v>
      </c>
    </row>
    <row r="3" spans="1:5" ht="38.25" customHeight="1" x14ac:dyDescent="0.25">
      <c r="A3" s="63" t="s">
        <v>11</v>
      </c>
      <c r="B3" s="71" t="s">
        <v>71</v>
      </c>
      <c r="C3" s="65" t="s">
        <v>9</v>
      </c>
      <c r="D3" s="54">
        <v>1</v>
      </c>
      <c r="E3" s="55">
        <f>(E6+E11+E16+E21)/100 * 71</f>
        <v>2134.0327999999995</v>
      </c>
    </row>
    <row r="4" spans="1:5" x14ac:dyDescent="0.25">
      <c r="A4" s="67" t="s">
        <v>7</v>
      </c>
      <c r="B4" s="4" t="s">
        <v>89</v>
      </c>
      <c r="C4" s="3" t="s">
        <v>10</v>
      </c>
      <c r="D4" s="9">
        <v>0.3</v>
      </c>
      <c r="E4" s="57">
        <f>D4*E3</f>
        <v>640.20983999999987</v>
      </c>
    </row>
    <row r="5" spans="1:5" ht="13.8" thickBot="1" x14ac:dyDescent="0.3">
      <c r="A5" s="68" t="s">
        <v>72</v>
      </c>
      <c r="B5" s="69" t="s">
        <v>73</v>
      </c>
      <c r="C5" s="70" t="s">
        <v>9</v>
      </c>
      <c r="D5" s="61">
        <v>1.1000000000000001</v>
      </c>
      <c r="E5" s="62">
        <f>D5*E3</f>
        <v>2347.4360799999995</v>
      </c>
    </row>
    <row r="6" spans="1:5" ht="39.6" x14ac:dyDescent="0.25">
      <c r="A6" s="63" t="s">
        <v>12</v>
      </c>
      <c r="B6" s="71" t="s">
        <v>81</v>
      </c>
      <c r="C6" s="65" t="s">
        <v>82</v>
      </c>
      <c r="D6" s="54">
        <v>1</v>
      </c>
      <c r="E6" s="55">
        <f>'Спец 3 э. шт.'!C28</f>
        <v>840.60999999999979</v>
      </c>
    </row>
    <row r="7" spans="1:5" x14ac:dyDescent="0.25">
      <c r="A7" s="67" t="s">
        <v>13</v>
      </c>
      <c r="B7" s="4" t="s">
        <v>6</v>
      </c>
      <c r="C7" s="3" t="s">
        <v>10</v>
      </c>
      <c r="D7" s="9">
        <v>1.3</v>
      </c>
      <c r="E7" s="57">
        <f>$E$6*D7*23.077</f>
        <v>25218.384060999993</v>
      </c>
    </row>
    <row r="8" spans="1:5" x14ac:dyDescent="0.25">
      <c r="A8" s="67" t="s">
        <v>14</v>
      </c>
      <c r="B8" s="21" t="s">
        <v>113</v>
      </c>
      <c r="C8" s="3" t="s">
        <v>82</v>
      </c>
      <c r="D8" s="9">
        <v>1.1000000000000001</v>
      </c>
      <c r="E8" s="57">
        <f t="shared" ref="E8:E10" si="0">$E$6*D8</f>
        <v>924.67099999999982</v>
      </c>
    </row>
    <row r="9" spans="1:5" x14ac:dyDescent="0.25">
      <c r="A9" s="67" t="s">
        <v>74</v>
      </c>
      <c r="B9" s="4" t="s">
        <v>80</v>
      </c>
      <c r="C9" s="3" t="s">
        <v>9</v>
      </c>
      <c r="D9" s="9">
        <v>1</v>
      </c>
      <c r="E9" s="57">
        <f t="shared" si="0"/>
        <v>840.60999999999979</v>
      </c>
    </row>
    <row r="10" spans="1:5" ht="13.8" thickBot="1" x14ac:dyDescent="0.3">
      <c r="A10" s="68" t="s">
        <v>86</v>
      </c>
      <c r="B10" s="69" t="s">
        <v>18</v>
      </c>
      <c r="C10" s="70" t="s">
        <v>10</v>
      </c>
      <c r="D10" s="61">
        <v>0.25</v>
      </c>
      <c r="E10" s="62">
        <f t="shared" si="0"/>
        <v>210.15249999999995</v>
      </c>
    </row>
    <row r="11" spans="1:5" ht="39.6" x14ac:dyDescent="0.25">
      <c r="A11" s="63" t="s">
        <v>75</v>
      </c>
      <c r="B11" s="64" t="s">
        <v>83</v>
      </c>
      <c r="C11" s="65" t="s">
        <v>82</v>
      </c>
      <c r="D11" s="54">
        <v>1</v>
      </c>
      <c r="E11" s="55">
        <f>'Спец 3 э. шт.'!E28</f>
        <v>38.590000000000003</v>
      </c>
    </row>
    <row r="12" spans="1:5" x14ac:dyDescent="0.25">
      <c r="A12" s="67" t="s">
        <v>76</v>
      </c>
      <c r="B12" s="4" t="s">
        <v>18</v>
      </c>
      <c r="C12" s="3" t="s">
        <v>10</v>
      </c>
      <c r="D12" s="9">
        <v>0.25</v>
      </c>
      <c r="E12" s="57">
        <f>E11*D12</f>
        <v>9.6475000000000009</v>
      </c>
    </row>
    <row r="13" spans="1:5" x14ac:dyDescent="0.25">
      <c r="A13" s="67" t="s">
        <v>77</v>
      </c>
      <c r="B13" s="4" t="s">
        <v>80</v>
      </c>
      <c r="C13" s="3" t="s">
        <v>9</v>
      </c>
      <c r="D13" s="9">
        <v>1</v>
      </c>
      <c r="E13" s="57">
        <f>E11*D13</f>
        <v>38.590000000000003</v>
      </c>
    </row>
    <row r="14" spans="1:5" x14ac:dyDescent="0.25">
      <c r="A14" s="67" t="s">
        <v>78</v>
      </c>
      <c r="B14" s="21" t="s">
        <v>113</v>
      </c>
      <c r="C14" s="3" t="s">
        <v>82</v>
      </c>
      <c r="D14" s="9">
        <v>1.1000000000000001</v>
      </c>
      <c r="E14" s="57">
        <f>E11*D14</f>
        <v>42.449000000000005</v>
      </c>
    </row>
    <row r="15" spans="1:5" ht="13.8" thickBot="1" x14ac:dyDescent="0.3">
      <c r="A15" s="68" t="s">
        <v>79</v>
      </c>
      <c r="B15" s="69" t="s">
        <v>6</v>
      </c>
      <c r="C15" s="70" t="s">
        <v>10</v>
      </c>
      <c r="D15" s="61">
        <v>1.3</v>
      </c>
      <c r="E15" s="62">
        <f>E11*D15*23.077</f>
        <v>1157.7038590000002</v>
      </c>
    </row>
    <row r="16" spans="1:5" ht="39.6" x14ac:dyDescent="0.25">
      <c r="A16" s="63" t="s">
        <v>87</v>
      </c>
      <c r="B16" s="64" t="s">
        <v>84</v>
      </c>
      <c r="C16" s="65" t="s">
        <v>82</v>
      </c>
      <c r="D16" s="54">
        <v>1</v>
      </c>
      <c r="E16" s="55">
        <f>'Спец 3 э. шт.'!F28</f>
        <v>261.49</v>
      </c>
    </row>
    <row r="17" spans="1:5" x14ac:dyDescent="0.25">
      <c r="A17" s="56">
        <v>4.0999999999999996</v>
      </c>
      <c r="B17" s="21" t="s">
        <v>6</v>
      </c>
      <c r="C17" s="45" t="s">
        <v>10</v>
      </c>
      <c r="D17" s="9">
        <v>1.3</v>
      </c>
      <c r="E17" s="57">
        <f>E16*D17*23.077</f>
        <v>7844.726149000001</v>
      </c>
    </row>
    <row r="18" spans="1:5" x14ac:dyDescent="0.25">
      <c r="A18" s="56">
        <v>4.2</v>
      </c>
      <c r="B18" s="21" t="s">
        <v>113</v>
      </c>
      <c r="C18" s="45" t="s">
        <v>82</v>
      </c>
      <c r="D18" s="9">
        <v>1.1000000000000001</v>
      </c>
      <c r="E18" s="57">
        <f>E16*D18</f>
        <v>287.63900000000001</v>
      </c>
    </row>
    <row r="19" spans="1:5" x14ac:dyDescent="0.25">
      <c r="A19" s="56">
        <v>4.3</v>
      </c>
      <c r="B19" s="21" t="s">
        <v>80</v>
      </c>
      <c r="C19" s="45" t="s">
        <v>9</v>
      </c>
      <c r="D19" s="9">
        <v>1</v>
      </c>
      <c r="E19" s="57">
        <f>E16*D19</f>
        <v>261.49</v>
      </c>
    </row>
    <row r="20" spans="1:5" ht="13.8" thickBot="1" x14ac:dyDescent="0.3">
      <c r="A20" s="58">
        <v>4.4000000000000004</v>
      </c>
      <c r="B20" s="66" t="s">
        <v>18</v>
      </c>
      <c r="C20" s="60" t="s">
        <v>10</v>
      </c>
      <c r="D20" s="61">
        <v>0.25</v>
      </c>
      <c r="E20" s="62">
        <f>E16*D20</f>
        <v>65.372500000000002</v>
      </c>
    </row>
    <row r="21" spans="1:5" ht="39.6" x14ac:dyDescent="0.25">
      <c r="A21" s="51">
        <v>5</v>
      </c>
      <c r="B21" s="52" t="s">
        <v>85</v>
      </c>
      <c r="C21" s="53" t="s">
        <v>82</v>
      </c>
      <c r="D21" s="54">
        <v>1</v>
      </c>
      <c r="E21" s="55">
        <f>'Спец 3 э. шт.'!D28</f>
        <v>1864.9899999999998</v>
      </c>
    </row>
    <row r="22" spans="1:5" x14ac:dyDescent="0.25">
      <c r="A22" s="56">
        <v>5.0999999999999996</v>
      </c>
      <c r="B22" s="21" t="s">
        <v>17</v>
      </c>
      <c r="C22" s="45" t="s">
        <v>10</v>
      </c>
      <c r="D22" s="9">
        <v>0.15</v>
      </c>
      <c r="E22" s="57">
        <f>E21*D22</f>
        <v>279.74849999999998</v>
      </c>
    </row>
    <row r="23" spans="1:5" x14ac:dyDescent="0.25">
      <c r="A23" s="56">
        <v>5.2</v>
      </c>
      <c r="B23" s="21" t="s">
        <v>80</v>
      </c>
      <c r="C23" s="45" t="s">
        <v>9</v>
      </c>
      <c r="D23" s="9">
        <v>1</v>
      </c>
      <c r="E23" s="57">
        <f>E21*D23</f>
        <v>1864.9899999999998</v>
      </c>
    </row>
    <row r="24" spans="1:5" x14ac:dyDescent="0.25">
      <c r="A24" s="56">
        <v>5.3</v>
      </c>
      <c r="B24" s="21" t="s">
        <v>113</v>
      </c>
      <c r="C24" s="45" t="s">
        <v>82</v>
      </c>
      <c r="D24" s="9">
        <v>1.1000000000000001</v>
      </c>
      <c r="E24" s="57">
        <f>E21*D24</f>
        <v>2051.489</v>
      </c>
    </row>
    <row r="25" spans="1:5" x14ac:dyDescent="0.25">
      <c r="A25" s="56">
        <v>5.4</v>
      </c>
      <c r="B25" s="21" t="s">
        <v>6</v>
      </c>
      <c r="C25" s="45" t="s">
        <v>10</v>
      </c>
      <c r="D25" s="9">
        <v>1.3</v>
      </c>
      <c r="E25" s="57">
        <f>E21*D25*23.077</f>
        <v>55949.886498999993</v>
      </c>
    </row>
    <row r="26" spans="1:5" ht="13.8" thickBot="1" x14ac:dyDescent="0.3">
      <c r="A26" s="58">
        <v>6</v>
      </c>
      <c r="B26" s="59" t="s">
        <v>88</v>
      </c>
      <c r="C26" s="60" t="s">
        <v>9</v>
      </c>
      <c r="D26" s="61">
        <v>1</v>
      </c>
      <c r="E26" s="62">
        <v>315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Z28"/>
  <sheetViews>
    <sheetView topLeftCell="A2" zoomScale="90" zoomScaleNormal="90" workbookViewId="0">
      <selection activeCell="G10" activeCellId="1" sqref="G5:G8 G10:G16"/>
    </sheetView>
  </sheetViews>
  <sheetFormatPr defaultColWidth="9.109375" defaultRowHeight="13.2" x14ac:dyDescent="0.25"/>
  <cols>
    <col min="1" max="1" width="7" style="10" customWidth="1"/>
    <col min="2" max="2" width="11.109375" style="10" customWidth="1"/>
    <col min="3" max="6" width="8.6640625" style="10" customWidth="1"/>
    <col min="7" max="7" width="8.6640625" style="27" customWidth="1"/>
    <col min="8" max="12" width="9.109375" style="1" customWidth="1"/>
    <col min="13" max="13" width="13.109375" style="1" customWidth="1"/>
    <col min="14" max="14" width="7.5546875" style="1" customWidth="1"/>
    <col min="15" max="15" width="9.6640625" style="1" customWidth="1"/>
    <col min="16" max="16" width="7.6640625" style="1" customWidth="1"/>
    <col min="17" max="17" width="10.5546875" style="1" customWidth="1"/>
    <col min="18" max="18" width="11.44140625" style="1" customWidth="1"/>
    <col min="19" max="20" width="13.109375" style="1" customWidth="1"/>
    <col min="21" max="21" width="24.44140625" style="1" customWidth="1"/>
    <col min="22" max="22" width="9.109375" style="1" customWidth="1"/>
    <col min="23" max="23" width="12" style="1" customWidth="1"/>
    <col min="24" max="24" width="9.109375" style="1" customWidth="1"/>
    <col min="25" max="25" width="13.88671875" style="1" customWidth="1"/>
    <col min="26" max="27" width="9.109375" style="1" customWidth="1"/>
    <col min="28" max="16384" width="9.109375" style="1"/>
  </cols>
  <sheetData>
    <row r="1" spans="1:26" x14ac:dyDescent="0.25">
      <c r="A1" s="328" t="s">
        <v>2</v>
      </c>
      <c r="B1" s="328"/>
      <c r="C1" s="328"/>
      <c r="D1" s="328"/>
      <c r="E1" s="328"/>
      <c r="F1" s="328"/>
      <c r="G1" s="328"/>
    </row>
    <row r="2" spans="1:26" x14ac:dyDescent="0.25">
      <c r="A2" s="271" t="s">
        <v>64</v>
      </c>
      <c r="B2" s="271"/>
      <c r="C2" s="271"/>
      <c r="D2" s="271"/>
      <c r="E2" s="271"/>
      <c r="F2" s="271"/>
      <c r="G2" s="271"/>
      <c r="O2" s="39"/>
      <c r="Q2" s="41"/>
    </row>
    <row r="3" spans="1:26" ht="39.6" x14ac:dyDescent="0.25">
      <c r="A3" s="28"/>
      <c r="B3" s="12"/>
      <c r="C3" s="6" t="s">
        <v>65</v>
      </c>
      <c r="D3" s="29" t="s">
        <v>69</v>
      </c>
      <c r="E3" s="29" t="s">
        <v>68</v>
      </c>
      <c r="F3" s="29" t="s">
        <v>67</v>
      </c>
      <c r="G3" s="15" t="s">
        <v>3</v>
      </c>
      <c r="H3" s="36" t="s">
        <v>65</v>
      </c>
      <c r="I3" s="30" t="s">
        <v>110</v>
      </c>
      <c r="J3" s="34" t="s">
        <v>69</v>
      </c>
      <c r="K3" s="31" t="s">
        <v>111</v>
      </c>
      <c r="L3" s="32" t="s">
        <v>112</v>
      </c>
      <c r="M3" s="1" t="s">
        <v>36</v>
      </c>
      <c r="N3" s="39" t="s">
        <v>115</v>
      </c>
      <c r="O3" s="40" t="s">
        <v>116</v>
      </c>
      <c r="P3" s="41" t="s">
        <v>114</v>
      </c>
      <c r="Q3" s="40" t="s">
        <v>117</v>
      </c>
      <c r="R3" s="43" t="s">
        <v>120</v>
      </c>
      <c r="S3" s="42" t="s">
        <v>118</v>
      </c>
      <c r="T3" s="42" t="s">
        <v>119</v>
      </c>
      <c r="U3" s="1" t="s">
        <v>20</v>
      </c>
      <c r="V3" s="1" t="s">
        <v>35</v>
      </c>
    </row>
    <row r="4" spans="1:26" x14ac:dyDescent="0.25">
      <c r="A4" s="28" t="s">
        <v>0</v>
      </c>
      <c r="B4" s="14" t="s">
        <v>5</v>
      </c>
      <c r="C4" s="3" t="s">
        <v>4</v>
      </c>
      <c r="D4" s="3" t="s">
        <v>4</v>
      </c>
      <c r="E4" s="3" t="s">
        <v>4</v>
      </c>
      <c r="F4" s="3" t="s">
        <v>4</v>
      </c>
      <c r="G4" s="25" t="s">
        <v>4</v>
      </c>
      <c r="H4" s="37"/>
      <c r="I4" s="33"/>
      <c r="J4" s="35"/>
      <c r="K4" s="33">
        <f t="shared" ref="K4:K27" si="0">I4</f>
        <v>0</v>
      </c>
      <c r="L4" s="38"/>
      <c r="Y4" s="1" t="s">
        <v>66</v>
      </c>
    </row>
    <row r="5" spans="1:26" x14ac:dyDescent="0.25">
      <c r="A5" s="28">
        <v>1</v>
      </c>
      <c r="B5" s="12" t="s">
        <v>90</v>
      </c>
      <c r="C5" s="25">
        <f>ROUND(N5+O5-T5, 2)</f>
        <v>53.82</v>
      </c>
      <c r="D5" s="25">
        <f>ROUND(P5+Q5+R5-S5, 2)</f>
        <v>114.96</v>
      </c>
      <c r="E5" s="25"/>
      <c r="F5" s="25"/>
      <c r="G5" s="25">
        <f>SUM(C5:F5)</f>
        <v>168.78</v>
      </c>
      <c r="H5" s="37">
        <f>ROUND(N5+O5-T5, 2)</f>
        <v>53.82</v>
      </c>
      <c r="I5" s="33">
        <f>ROUND(P5+Q5+R5-S5, 2)</f>
        <v>114.96</v>
      </c>
      <c r="J5" s="35"/>
      <c r="K5" s="33">
        <f t="shared" si="0"/>
        <v>114.96</v>
      </c>
      <c r="L5" s="38"/>
      <c r="M5" s="1" t="s">
        <v>39</v>
      </c>
      <c r="N5" s="1">
        <v>50.395499999999998</v>
      </c>
      <c r="O5" s="1">
        <v>3.42</v>
      </c>
      <c r="P5" s="1">
        <v>103.56</v>
      </c>
      <c r="Q5" s="1">
        <v>11.4</v>
      </c>
      <c r="R5" s="1">
        <v>0</v>
      </c>
      <c r="S5" s="1">
        <v>0</v>
      </c>
      <c r="T5" s="1">
        <v>0</v>
      </c>
      <c r="V5" s="1">
        <v>4000</v>
      </c>
      <c r="W5" s="8">
        <f>ROUND(U5*V5/1000000, 2)</f>
        <v>0</v>
      </c>
      <c r="Y5" s="1">
        <v>15</v>
      </c>
      <c r="Z5" s="8">
        <f>(W5-Y5) / 100 * 5 + (W5-Y5)</f>
        <v>-15.75</v>
      </c>
    </row>
    <row r="6" spans="1:26" x14ac:dyDescent="0.25">
      <c r="A6" s="44">
        <v>2</v>
      </c>
      <c r="B6" s="12" t="s">
        <v>91</v>
      </c>
      <c r="C6" s="25">
        <f t="shared" ref="C6:C17" si="1">ROUND(N6+O6-T6, 2)</f>
        <v>14.03</v>
      </c>
      <c r="D6" s="25">
        <f t="shared" ref="D6:D17" si="2">ROUND(P6+Q6+R6-S6, 2)</f>
        <v>91.55</v>
      </c>
      <c r="E6" s="25"/>
      <c r="F6" s="25"/>
      <c r="G6" s="25">
        <f t="shared" ref="G6:G27" si="3">SUM(C6:F6)</f>
        <v>105.58</v>
      </c>
      <c r="H6" s="37"/>
      <c r="I6" s="33">
        <f>6900+1200</f>
        <v>8100</v>
      </c>
      <c r="J6" s="35"/>
      <c r="K6" s="33">
        <f t="shared" si="0"/>
        <v>8100</v>
      </c>
      <c r="L6" s="38"/>
      <c r="N6" s="1">
        <v>11.6</v>
      </c>
      <c r="O6" s="1">
        <v>2.4300000000000002</v>
      </c>
      <c r="P6" s="1">
        <v>80.12</v>
      </c>
      <c r="Q6" s="1">
        <v>8.1</v>
      </c>
      <c r="R6" s="1">
        <v>3.33</v>
      </c>
      <c r="S6" s="1">
        <v>0</v>
      </c>
      <c r="T6" s="1">
        <v>0</v>
      </c>
      <c r="U6" s="1">
        <v>30830.7402</v>
      </c>
      <c r="V6" s="1">
        <v>4000</v>
      </c>
      <c r="W6" s="8">
        <f t="shared" ref="W6:W27" si="4">ROUND(U6*V6/1000000, 2)</f>
        <v>123.32</v>
      </c>
      <c r="Y6" s="1">
        <v>15</v>
      </c>
      <c r="Z6" s="8">
        <f t="shared" ref="Z6:Z27" si="5">(W6-Y6) / 100 * 5 + (W6-Y6)</f>
        <v>113.73599999999999</v>
      </c>
    </row>
    <row r="7" spans="1:26" x14ac:dyDescent="0.25">
      <c r="A7" s="44">
        <v>3</v>
      </c>
      <c r="B7" s="12" t="s">
        <v>92</v>
      </c>
      <c r="C7" s="25">
        <f t="shared" si="1"/>
        <v>19.86</v>
      </c>
      <c r="D7" s="25">
        <f t="shared" si="2"/>
        <v>85.93</v>
      </c>
      <c r="E7" s="25"/>
      <c r="F7" s="25"/>
      <c r="G7" s="25">
        <f t="shared" si="3"/>
        <v>105.79</v>
      </c>
      <c r="H7" s="37">
        <f>(900+900+480+900+1200)*4/1000</f>
        <v>17.52</v>
      </c>
      <c r="I7" s="33">
        <f>4300+3500</f>
        <v>7800</v>
      </c>
      <c r="J7" s="35">
        <f>1010+3530+14190</f>
        <v>18730</v>
      </c>
      <c r="K7" s="33">
        <f t="shared" si="0"/>
        <v>7800</v>
      </c>
      <c r="L7" s="38"/>
      <c r="N7" s="1">
        <v>17.52</v>
      </c>
      <c r="O7" s="1">
        <v>2.34</v>
      </c>
      <c r="P7" s="1">
        <v>74.8</v>
      </c>
      <c r="Q7" s="1">
        <v>7.8</v>
      </c>
      <c r="R7" s="1">
        <v>3.33</v>
      </c>
      <c r="S7" s="1">
        <v>0</v>
      </c>
      <c r="T7" s="1">
        <v>0</v>
      </c>
      <c r="U7" s="1">
        <v>32917.396500000003</v>
      </c>
      <c r="V7" s="1">
        <v>4000</v>
      </c>
      <c r="W7" s="8">
        <f t="shared" si="4"/>
        <v>131.66999999999999</v>
      </c>
      <c r="Y7" s="1">
        <v>15</v>
      </c>
      <c r="Z7" s="8">
        <f t="shared" si="5"/>
        <v>122.50349999999999</v>
      </c>
    </row>
    <row r="8" spans="1:26" x14ac:dyDescent="0.25">
      <c r="A8" s="44">
        <v>4</v>
      </c>
      <c r="B8" s="12" t="s">
        <v>93</v>
      </c>
      <c r="C8" s="25">
        <f t="shared" si="1"/>
        <v>45.58</v>
      </c>
      <c r="D8" s="25">
        <f t="shared" si="2"/>
        <v>70.930000000000007</v>
      </c>
      <c r="E8" s="25"/>
      <c r="F8" s="25"/>
      <c r="G8" s="25">
        <f t="shared" si="3"/>
        <v>116.51</v>
      </c>
      <c r="H8" s="37">
        <f>10460*4/1000</f>
        <v>41.84</v>
      </c>
      <c r="I8" s="33">
        <f>3450+3300</f>
        <v>6750</v>
      </c>
      <c r="J8" s="35">
        <f>15250*4/1000</f>
        <v>61</v>
      </c>
      <c r="K8" s="33">
        <f>I8</f>
        <v>6750</v>
      </c>
      <c r="L8" s="38"/>
      <c r="N8" s="1">
        <v>43.6</v>
      </c>
      <c r="O8" s="1">
        <v>1.98</v>
      </c>
      <c r="P8" s="1">
        <v>61</v>
      </c>
      <c r="Q8" s="1">
        <v>6.6</v>
      </c>
      <c r="R8" s="1">
        <v>3.33</v>
      </c>
      <c r="S8" s="1">
        <v>0</v>
      </c>
      <c r="T8" s="1">
        <v>0</v>
      </c>
      <c r="U8" s="1">
        <v>78654.636299999998</v>
      </c>
      <c r="V8" s="1">
        <v>4000</v>
      </c>
      <c r="W8" s="8">
        <f t="shared" si="4"/>
        <v>314.62</v>
      </c>
      <c r="Y8" s="1">
        <v>15</v>
      </c>
      <c r="Z8" s="8">
        <f t="shared" si="5"/>
        <v>314.601</v>
      </c>
    </row>
    <row r="9" spans="1:26" x14ac:dyDescent="0.25">
      <c r="A9" s="44">
        <v>5</v>
      </c>
      <c r="B9" s="12" t="s">
        <v>94</v>
      </c>
      <c r="C9" s="25">
        <f t="shared" si="1"/>
        <v>159.75</v>
      </c>
      <c r="D9" s="25">
        <f t="shared" si="2"/>
        <v>242.78</v>
      </c>
      <c r="E9" s="25"/>
      <c r="F9" s="25"/>
      <c r="G9" s="25">
        <f t="shared" si="3"/>
        <v>402.53</v>
      </c>
      <c r="H9" s="37"/>
      <c r="I9" s="33"/>
      <c r="J9" s="35"/>
      <c r="K9" s="33">
        <f t="shared" si="0"/>
        <v>0</v>
      </c>
      <c r="L9" s="38"/>
      <c r="N9" s="1">
        <v>161.94</v>
      </c>
      <c r="O9" s="1">
        <v>5.23</v>
      </c>
      <c r="P9" s="1">
        <v>230.3</v>
      </c>
      <c r="Q9" s="1">
        <v>17.420000000000002</v>
      </c>
      <c r="R9" s="1">
        <v>0</v>
      </c>
      <c r="S9" s="1">
        <v>4.9351000000000003</v>
      </c>
      <c r="T9" s="1">
        <v>7.4238999999999997</v>
      </c>
      <c r="U9" s="1">
        <v>12056</v>
      </c>
      <c r="V9" s="1">
        <v>4000</v>
      </c>
      <c r="W9" s="8">
        <f t="shared" si="4"/>
        <v>48.22</v>
      </c>
      <c r="Y9" s="1">
        <v>20</v>
      </c>
      <c r="Z9" s="8">
        <f t="shared" si="5"/>
        <v>29.631</v>
      </c>
    </row>
    <row r="10" spans="1:26" x14ac:dyDescent="0.25">
      <c r="A10" s="44">
        <v>6</v>
      </c>
      <c r="B10" s="12" t="s">
        <v>95</v>
      </c>
      <c r="C10" s="25">
        <f t="shared" si="1"/>
        <v>33.93</v>
      </c>
      <c r="D10" s="25">
        <f t="shared" si="2"/>
        <v>14.8</v>
      </c>
      <c r="E10" s="25"/>
      <c r="F10" s="25"/>
      <c r="G10" s="25">
        <f t="shared" si="3"/>
        <v>48.730000000000004</v>
      </c>
      <c r="H10" s="37"/>
      <c r="I10" s="33"/>
      <c r="J10" s="35"/>
      <c r="K10" s="33">
        <f t="shared" si="0"/>
        <v>0</v>
      </c>
      <c r="L10" s="38"/>
      <c r="N10" s="1">
        <v>41.35</v>
      </c>
      <c r="O10" s="1">
        <v>0</v>
      </c>
      <c r="P10" s="1">
        <v>14.8</v>
      </c>
      <c r="Q10" s="1">
        <v>0</v>
      </c>
      <c r="R10" s="1">
        <v>0</v>
      </c>
      <c r="S10" s="1">
        <v>0</v>
      </c>
      <c r="T10" s="1">
        <v>7.42</v>
      </c>
      <c r="U10" s="1">
        <v>30423</v>
      </c>
      <c r="V10" s="1">
        <v>4000</v>
      </c>
      <c r="W10" s="8">
        <f t="shared" si="4"/>
        <v>121.69</v>
      </c>
      <c r="Y10" s="1">
        <v>20</v>
      </c>
      <c r="Z10" s="8">
        <f t="shared" si="5"/>
        <v>106.7745</v>
      </c>
    </row>
    <row r="11" spans="1:26" x14ac:dyDescent="0.25">
      <c r="A11" s="44">
        <v>7</v>
      </c>
      <c r="B11" s="12" t="s">
        <v>96</v>
      </c>
      <c r="C11" s="25">
        <f t="shared" si="1"/>
        <v>34.19</v>
      </c>
      <c r="D11" s="25">
        <f t="shared" si="2"/>
        <v>68.38</v>
      </c>
      <c r="E11" s="25"/>
      <c r="F11" s="25"/>
      <c r="G11" s="25">
        <f t="shared" si="3"/>
        <v>102.57</v>
      </c>
      <c r="H11" s="37"/>
      <c r="I11" s="33"/>
      <c r="J11" s="35"/>
      <c r="K11" s="33">
        <f t="shared" si="0"/>
        <v>0</v>
      </c>
      <c r="L11" s="38"/>
      <c r="N11" s="1">
        <v>32.049999999999997</v>
      </c>
      <c r="O11" s="1">
        <v>2.14</v>
      </c>
      <c r="P11" s="1">
        <v>57.92</v>
      </c>
      <c r="Q11" s="1">
        <v>7.13</v>
      </c>
      <c r="R11" s="1">
        <v>3.33</v>
      </c>
      <c r="S11" s="1">
        <v>0</v>
      </c>
      <c r="T11" s="1">
        <v>0</v>
      </c>
      <c r="U11" s="1">
        <v>30423</v>
      </c>
      <c r="V11" s="1">
        <v>4000</v>
      </c>
      <c r="W11" s="8">
        <f t="shared" si="4"/>
        <v>121.69</v>
      </c>
      <c r="Y11" s="1">
        <v>20</v>
      </c>
      <c r="Z11" s="8">
        <f t="shared" si="5"/>
        <v>106.7745</v>
      </c>
    </row>
    <row r="12" spans="1:26" x14ac:dyDescent="0.25">
      <c r="A12" s="44">
        <v>8</v>
      </c>
      <c r="B12" s="12" t="s">
        <v>97</v>
      </c>
      <c r="C12" s="25">
        <f t="shared" si="1"/>
        <v>36.79</v>
      </c>
      <c r="D12" s="25">
        <f t="shared" si="2"/>
        <v>67.91</v>
      </c>
      <c r="E12" s="25"/>
      <c r="F12" s="25"/>
      <c r="G12" s="25">
        <f t="shared" si="3"/>
        <v>104.69999999999999</v>
      </c>
      <c r="H12" s="37"/>
      <c r="I12" s="33"/>
      <c r="J12" s="35"/>
      <c r="K12" s="33">
        <f t="shared" si="0"/>
        <v>0</v>
      </c>
      <c r="L12" s="38"/>
      <c r="N12" s="1">
        <v>34.479999999999997</v>
      </c>
      <c r="O12" s="1">
        <v>2.31</v>
      </c>
      <c r="P12" s="1">
        <v>56.88</v>
      </c>
      <c r="Q12" s="1">
        <v>7.7</v>
      </c>
      <c r="R12" s="1">
        <v>3.33</v>
      </c>
      <c r="S12" s="1">
        <v>0</v>
      </c>
      <c r="T12" s="1">
        <v>0</v>
      </c>
      <c r="U12" s="1">
        <v>27149</v>
      </c>
      <c r="V12" s="1">
        <v>4000</v>
      </c>
      <c r="W12" s="8">
        <f t="shared" si="4"/>
        <v>108.6</v>
      </c>
      <c r="Y12" s="1">
        <v>20</v>
      </c>
      <c r="Z12" s="8">
        <f t="shared" si="5"/>
        <v>93.03</v>
      </c>
    </row>
    <row r="13" spans="1:26" x14ac:dyDescent="0.25">
      <c r="A13" s="44">
        <v>9</v>
      </c>
      <c r="B13" s="12" t="s">
        <v>98</v>
      </c>
      <c r="C13" s="25">
        <f t="shared" si="1"/>
        <v>13.36</v>
      </c>
      <c r="D13" s="25">
        <f t="shared" si="2"/>
        <v>88.25</v>
      </c>
      <c r="E13" s="25"/>
      <c r="F13" s="25"/>
      <c r="G13" s="25">
        <f t="shared" si="3"/>
        <v>101.61</v>
      </c>
      <c r="H13" s="37"/>
      <c r="I13" s="33"/>
      <c r="J13" s="35"/>
      <c r="K13" s="33">
        <f t="shared" si="0"/>
        <v>0</v>
      </c>
      <c r="L13" s="38"/>
      <c r="N13" s="1">
        <v>11.2</v>
      </c>
      <c r="O13" s="1">
        <v>2.16</v>
      </c>
      <c r="P13" s="1">
        <v>77.72</v>
      </c>
      <c r="Q13" s="1">
        <v>7.2</v>
      </c>
      <c r="R13" s="1">
        <v>3.33</v>
      </c>
      <c r="S13" s="1">
        <v>0</v>
      </c>
      <c r="T13" s="1">
        <v>0</v>
      </c>
      <c r="U13" s="1">
        <v>30390</v>
      </c>
      <c r="V13" s="1">
        <v>4000</v>
      </c>
      <c r="W13" s="8">
        <f t="shared" si="4"/>
        <v>121.56</v>
      </c>
      <c r="Y13" s="1">
        <v>20</v>
      </c>
      <c r="Z13" s="8">
        <f t="shared" si="5"/>
        <v>106.63800000000001</v>
      </c>
    </row>
    <row r="14" spans="1:26" x14ac:dyDescent="0.25">
      <c r="A14" s="44">
        <v>10</v>
      </c>
      <c r="B14" s="12" t="s">
        <v>99</v>
      </c>
      <c r="C14" s="25">
        <f t="shared" si="1"/>
        <v>34.97</v>
      </c>
      <c r="D14" s="25">
        <f t="shared" si="2"/>
        <v>70.28</v>
      </c>
      <c r="E14" s="25"/>
      <c r="F14" s="25"/>
      <c r="G14" s="25">
        <f t="shared" si="3"/>
        <v>105.25</v>
      </c>
      <c r="H14" s="37"/>
      <c r="I14" s="33"/>
      <c r="J14" s="35"/>
      <c r="K14" s="33">
        <f t="shared" si="0"/>
        <v>0</v>
      </c>
      <c r="L14" s="38"/>
      <c r="N14" s="1">
        <v>32.76</v>
      </c>
      <c r="O14" s="1">
        <v>2.21</v>
      </c>
      <c r="P14" s="1">
        <v>59.6</v>
      </c>
      <c r="Q14" s="1">
        <v>7.35</v>
      </c>
      <c r="R14" s="1">
        <v>3.33</v>
      </c>
      <c r="S14" s="1">
        <v>0</v>
      </c>
      <c r="T14" s="1">
        <v>0</v>
      </c>
      <c r="U14" s="1">
        <v>59638</v>
      </c>
      <c r="V14" s="1">
        <v>4000</v>
      </c>
      <c r="W14" s="8">
        <f t="shared" si="4"/>
        <v>238.55</v>
      </c>
      <c r="Y14" s="1">
        <v>15</v>
      </c>
      <c r="Z14" s="8">
        <f t="shared" si="5"/>
        <v>234.72750000000002</v>
      </c>
    </row>
    <row r="15" spans="1:26" x14ac:dyDescent="0.25">
      <c r="A15" s="44">
        <v>11</v>
      </c>
      <c r="B15" s="12" t="s">
        <v>100</v>
      </c>
      <c r="C15" s="25">
        <f t="shared" si="1"/>
        <v>15.36</v>
      </c>
      <c r="D15" s="25">
        <f t="shared" si="2"/>
        <v>89.97</v>
      </c>
      <c r="E15" s="25"/>
      <c r="F15" s="25"/>
      <c r="G15" s="25">
        <f t="shared" si="3"/>
        <v>105.33</v>
      </c>
      <c r="H15" s="37"/>
      <c r="I15" s="33"/>
      <c r="J15" s="35"/>
      <c r="K15" s="33">
        <f t="shared" si="0"/>
        <v>0</v>
      </c>
      <c r="L15" s="38"/>
      <c r="N15" s="1">
        <v>13.2</v>
      </c>
      <c r="O15" s="1">
        <v>2.16</v>
      </c>
      <c r="P15" s="1">
        <v>79.44</v>
      </c>
      <c r="Q15" s="1">
        <v>7.2</v>
      </c>
      <c r="R15" s="1">
        <v>3.33</v>
      </c>
      <c r="S15" s="1">
        <v>0</v>
      </c>
      <c r="T15" s="1">
        <v>0</v>
      </c>
      <c r="U15" s="1">
        <v>24809</v>
      </c>
      <c r="V15" s="1">
        <v>4000</v>
      </c>
      <c r="W15" s="8">
        <f t="shared" si="4"/>
        <v>99.24</v>
      </c>
      <c r="Y15" s="1">
        <v>20</v>
      </c>
      <c r="Z15" s="8">
        <f t="shared" si="5"/>
        <v>83.201999999999998</v>
      </c>
    </row>
    <row r="16" spans="1:26" x14ac:dyDescent="0.25">
      <c r="A16" s="44">
        <v>12</v>
      </c>
      <c r="B16" s="12" t="s">
        <v>101</v>
      </c>
      <c r="C16" s="25">
        <f t="shared" si="1"/>
        <v>42.14</v>
      </c>
      <c r="D16" s="25">
        <f t="shared" si="2"/>
        <v>59.81</v>
      </c>
      <c r="E16" s="25"/>
      <c r="F16" s="25"/>
      <c r="G16" s="25">
        <f t="shared" si="3"/>
        <v>101.95</v>
      </c>
      <c r="H16" s="37"/>
      <c r="I16" s="33"/>
      <c r="J16" s="35"/>
      <c r="K16" s="33">
        <f t="shared" si="0"/>
        <v>0</v>
      </c>
      <c r="L16" s="38"/>
      <c r="N16" s="1">
        <v>40.1</v>
      </c>
      <c r="O16" s="1">
        <v>2.04</v>
      </c>
      <c r="P16" s="1">
        <v>49.68</v>
      </c>
      <c r="Q16" s="1">
        <v>6.8</v>
      </c>
      <c r="R16" s="1">
        <v>3.33</v>
      </c>
      <c r="S16" s="1">
        <v>0</v>
      </c>
      <c r="T16" s="1">
        <v>0</v>
      </c>
      <c r="U16" s="1">
        <v>18723</v>
      </c>
      <c r="V16" s="1">
        <v>4000</v>
      </c>
      <c r="W16" s="8">
        <f t="shared" si="4"/>
        <v>74.89</v>
      </c>
      <c r="Y16" s="1">
        <v>5.4</v>
      </c>
      <c r="Z16" s="8">
        <f t="shared" si="5"/>
        <v>72.964500000000001</v>
      </c>
    </row>
    <row r="17" spans="1:26" x14ac:dyDescent="0.25">
      <c r="A17" s="44">
        <v>13</v>
      </c>
      <c r="B17" s="12" t="s">
        <v>102</v>
      </c>
      <c r="C17" s="25">
        <f t="shared" si="1"/>
        <v>63.53</v>
      </c>
      <c r="D17" s="25">
        <f t="shared" si="2"/>
        <v>157.88999999999999</v>
      </c>
      <c r="E17" s="25"/>
      <c r="F17" s="25"/>
      <c r="G17" s="25">
        <f t="shared" si="3"/>
        <v>221.42</v>
      </c>
      <c r="H17" s="37"/>
      <c r="I17" s="33"/>
      <c r="J17" s="35"/>
      <c r="K17" s="33">
        <f t="shared" si="0"/>
        <v>0</v>
      </c>
      <c r="L17" s="38"/>
      <c r="N17" s="1">
        <v>62.07</v>
      </c>
      <c r="O17" s="1">
        <v>1.46</v>
      </c>
      <c r="P17" s="1">
        <v>164.12</v>
      </c>
      <c r="Q17" s="1">
        <v>4.88</v>
      </c>
      <c r="R17" s="1">
        <v>0</v>
      </c>
      <c r="S17" s="1">
        <v>11.11</v>
      </c>
      <c r="T17" s="1">
        <v>0</v>
      </c>
      <c r="U17" s="1">
        <v>23333</v>
      </c>
      <c r="V17" s="1">
        <v>4000</v>
      </c>
      <c r="W17" s="8">
        <f t="shared" si="4"/>
        <v>93.33</v>
      </c>
      <c r="Y17" s="1">
        <v>5.4</v>
      </c>
      <c r="Z17" s="8">
        <f t="shared" si="5"/>
        <v>92.326499999999996</v>
      </c>
    </row>
    <row r="18" spans="1:26" x14ac:dyDescent="0.25">
      <c r="A18" s="44">
        <v>14</v>
      </c>
      <c r="B18" s="12" t="s">
        <v>103</v>
      </c>
      <c r="C18" s="25"/>
      <c r="D18" s="25"/>
      <c r="E18" s="25"/>
      <c r="F18" s="25">
        <f>SUM(N18:R18)-SUM(S18:T18)</f>
        <v>86.309999999999988</v>
      </c>
      <c r="G18" s="25">
        <f t="shared" si="3"/>
        <v>86.309999999999988</v>
      </c>
      <c r="H18" s="37"/>
      <c r="I18" s="33"/>
      <c r="J18" s="35"/>
      <c r="K18" s="33">
        <f t="shared" si="0"/>
        <v>0</v>
      </c>
      <c r="L18" s="38"/>
      <c r="M18" s="1" t="s">
        <v>67</v>
      </c>
      <c r="N18" s="1">
        <v>33.020000000000003</v>
      </c>
      <c r="O18" s="1">
        <v>0</v>
      </c>
      <c r="P18" s="1">
        <v>55.58</v>
      </c>
      <c r="Q18" s="1">
        <v>0</v>
      </c>
      <c r="R18" s="1">
        <v>0</v>
      </c>
      <c r="S18" s="1">
        <v>2.29</v>
      </c>
      <c r="T18" s="1">
        <v>0</v>
      </c>
      <c r="U18" s="1">
        <v>8495</v>
      </c>
      <c r="V18" s="1">
        <v>4000</v>
      </c>
      <c r="W18" s="8">
        <f t="shared" si="4"/>
        <v>33.979999999999997</v>
      </c>
      <c r="Z18" s="8">
        <f t="shared" si="5"/>
        <v>35.678999999999995</v>
      </c>
    </row>
    <row r="19" spans="1:26" x14ac:dyDescent="0.25">
      <c r="A19" s="44">
        <v>15</v>
      </c>
      <c r="B19" s="12" t="s">
        <v>104</v>
      </c>
      <c r="C19" s="25"/>
      <c r="D19" s="25"/>
      <c r="E19" s="25"/>
      <c r="F19" s="25">
        <f t="shared" ref="F19:F21" si="6">SUM(N19:R19)-SUM(S19:T19)</f>
        <v>113.91</v>
      </c>
      <c r="G19" s="25">
        <f t="shared" si="3"/>
        <v>113.91</v>
      </c>
      <c r="H19" s="37"/>
      <c r="I19" s="33"/>
      <c r="J19" s="35"/>
      <c r="K19" s="33">
        <f t="shared" si="0"/>
        <v>0</v>
      </c>
      <c r="L19" s="38"/>
      <c r="M19" s="1" t="s">
        <v>67</v>
      </c>
      <c r="N19" s="1">
        <v>8.08</v>
      </c>
      <c r="O19" s="1">
        <v>0</v>
      </c>
      <c r="P19" s="1">
        <v>108.12</v>
      </c>
      <c r="Q19" s="1">
        <v>0</v>
      </c>
      <c r="R19" s="1">
        <v>0</v>
      </c>
      <c r="S19" s="1">
        <v>2.29</v>
      </c>
      <c r="T19" s="1">
        <v>0</v>
      </c>
      <c r="U19" s="1">
        <v>4100</v>
      </c>
      <c r="V19" s="1">
        <v>4000</v>
      </c>
      <c r="W19" s="8">
        <f t="shared" si="4"/>
        <v>16.399999999999999</v>
      </c>
      <c r="Z19" s="8">
        <f t="shared" si="5"/>
        <v>17.22</v>
      </c>
    </row>
    <row r="20" spans="1:26" x14ac:dyDescent="0.25">
      <c r="A20" s="44">
        <v>16</v>
      </c>
      <c r="B20" s="12" t="s">
        <v>105</v>
      </c>
      <c r="C20" s="25"/>
      <c r="D20" s="25"/>
      <c r="E20" s="25"/>
      <c r="F20" s="25">
        <f t="shared" si="6"/>
        <v>36.11</v>
      </c>
      <c r="G20" s="25">
        <f t="shared" si="3"/>
        <v>36.11</v>
      </c>
      <c r="H20" s="37"/>
      <c r="I20" s="33"/>
      <c r="J20" s="35"/>
      <c r="K20" s="33">
        <f t="shared" si="0"/>
        <v>0</v>
      </c>
      <c r="L20" s="38"/>
      <c r="M20" s="1" t="s">
        <v>67</v>
      </c>
      <c r="N20" s="1">
        <v>3.12</v>
      </c>
      <c r="O20" s="1">
        <v>0</v>
      </c>
      <c r="P20" s="1">
        <v>35.28</v>
      </c>
      <c r="Q20" s="1">
        <v>0</v>
      </c>
      <c r="R20" s="1">
        <v>0</v>
      </c>
      <c r="S20" s="1">
        <v>2.29</v>
      </c>
      <c r="T20" s="1">
        <v>0</v>
      </c>
      <c r="U20" s="1">
        <v>9115</v>
      </c>
      <c r="V20" s="1">
        <v>4000</v>
      </c>
      <c r="W20" s="8">
        <f t="shared" si="4"/>
        <v>36.46</v>
      </c>
      <c r="Z20" s="8">
        <f t="shared" si="5"/>
        <v>38.283000000000001</v>
      </c>
    </row>
    <row r="21" spans="1:26" x14ac:dyDescent="0.25">
      <c r="A21" s="44">
        <v>17</v>
      </c>
      <c r="B21" s="12" t="s">
        <v>106</v>
      </c>
      <c r="C21" s="25"/>
      <c r="D21" s="25"/>
      <c r="E21" s="25"/>
      <c r="F21" s="25">
        <f t="shared" si="6"/>
        <v>25.16</v>
      </c>
      <c r="G21" s="25">
        <f t="shared" si="3"/>
        <v>25.16</v>
      </c>
      <c r="H21" s="37"/>
      <c r="I21" s="33"/>
      <c r="J21" s="35"/>
      <c r="K21" s="33">
        <f t="shared" si="0"/>
        <v>0</v>
      </c>
      <c r="L21" s="38"/>
      <c r="M21" s="1" t="s">
        <v>67</v>
      </c>
      <c r="N21" s="1">
        <v>4</v>
      </c>
      <c r="O21" s="1">
        <v>0</v>
      </c>
      <c r="P21" s="1">
        <v>25.06</v>
      </c>
      <c r="Q21" s="1">
        <v>0</v>
      </c>
      <c r="R21" s="1">
        <v>0</v>
      </c>
      <c r="S21" s="1">
        <v>1.95</v>
      </c>
      <c r="T21" s="1">
        <v>1.95</v>
      </c>
      <c r="U21" s="1">
        <v>68290</v>
      </c>
      <c r="V21" s="1">
        <v>4001</v>
      </c>
      <c r="W21" s="8">
        <f t="shared" si="4"/>
        <v>273.23</v>
      </c>
      <c r="Y21" s="1">
        <v>2.7</v>
      </c>
      <c r="Z21" s="8">
        <f t="shared" si="5"/>
        <v>284.05650000000003</v>
      </c>
    </row>
    <row r="22" spans="1:26" x14ac:dyDescent="0.25">
      <c r="A22" s="44">
        <v>18</v>
      </c>
      <c r="B22" s="12" t="s">
        <v>107</v>
      </c>
      <c r="C22" s="25">
        <f t="shared" ref="C22:C27" si="7">ROUND(N22+O22-T22, 2)</f>
        <v>78.069999999999993</v>
      </c>
      <c r="D22" s="25">
        <f t="shared" ref="D22:D27" si="8">ROUND(P22+Q22+R22-S22, 2)</f>
        <v>205.31</v>
      </c>
      <c r="E22" s="25"/>
      <c r="F22" s="25"/>
      <c r="G22" s="25">
        <f t="shared" si="3"/>
        <v>283.38</v>
      </c>
      <c r="H22" s="37"/>
      <c r="I22" s="33"/>
      <c r="J22" s="35"/>
      <c r="K22" s="33">
        <f t="shared" si="0"/>
        <v>0</v>
      </c>
      <c r="L22" s="38"/>
      <c r="N22" s="1">
        <v>76.3</v>
      </c>
      <c r="O22" s="1">
        <v>1.77</v>
      </c>
      <c r="P22" s="1">
        <v>195.71</v>
      </c>
      <c r="Q22" s="1">
        <v>5.9</v>
      </c>
      <c r="R22" s="1">
        <v>3.7</v>
      </c>
      <c r="S22" s="1">
        <v>0</v>
      </c>
      <c r="T22" s="1">
        <v>0</v>
      </c>
      <c r="U22" s="1">
        <v>107884</v>
      </c>
      <c r="V22" s="1">
        <v>4000</v>
      </c>
      <c r="W22" s="8">
        <f t="shared" si="4"/>
        <v>431.54</v>
      </c>
      <c r="Y22" s="1">
        <v>5.4</v>
      </c>
      <c r="Z22" s="8">
        <f t="shared" si="5"/>
        <v>447.44700000000006</v>
      </c>
    </row>
    <row r="23" spans="1:26" x14ac:dyDescent="0.25">
      <c r="A23" s="44">
        <v>19</v>
      </c>
      <c r="B23" s="12" t="s">
        <v>108</v>
      </c>
      <c r="C23" s="25">
        <f t="shared" si="7"/>
        <v>74.56</v>
      </c>
      <c r="D23" s="25">
        <f t="shared" si="8"/>
        <v>243.42</v>
      </c>
      <c r="E23" s="25"/>
      <c r="F23" s="25"/>
      <c r="G23" s="25">
        <f t="shared" si="3"/>
        <v>317.98</v>
      </c>
      <c r="H23" s="37"/>
      <c r="I23" s="33"/>
      <c r="J23" s="35"/>
      <c r="K23" s="33">
        <f t="shared" si="0"/>
        <v>0</v>
      </c>
      <c r="L23" s="38"/>
      <c r="N23" s="1">
        <v>79.260000000000005</v>
      </c>
      <c r="O23" s="1">
        <v>0.52</v>
      </c>
      <c r="P23" s="1">
        <v>249.17</v>
      </c>
      <c r="Q23" s="1">
        <v>1.73</v>
      </c>
      <c r="R23" s="1">
        <v>1.96</v>
      </c>
      <c r="S23" s="1">
        <v>9.44</v>
      </c>
      <c r="T23" s="1">
        <v>5.22</v>
      </c>
      <c r="U23" s="1">
        <v>12659</v>
      </c>
      <c r="V23" s="1">
        <v>4000</v>
      </c>
      <c r="W23" s="8">
        <f t="shared" si="4"/>
        <v>50.64</v>
      </c>
      <c r="Z23" s="8">
        <f t="shared" si="5"/>
        <v>53.171999999999997</v>
      </c>
    </row>
    <row r="24" spans="1:26" x14ac:dyDescent="0.25">
      <c r="A24" s="44">
        <v>20</v>
      </c>
      <c r="B24" s="12" t="s">
        <v>109</v>
      </c>
      <c r="C24" s="25">
        <f t="shared" si="7"/>
        <v>37.6</v>
      </c>
      <c r="D24" s="25">
        <f t="shared" si="8"/>
        <v>48.09</v>
      </c>
      <c r="E24" s="25"/>
      <c r="F24" s="25"/>
      <c r="G24" s="25">
        <f t="shared" si="3"/>
        <v>85.69</v>
      </c>
      <c r="H24" s="37"/>
      <c r="I24" s="33"/>
      <c r="J24" s="35"/>
      <c r="K24" s="33">
        <f t="shared" si="0"/>
        <v>0</v>
      </c>
      <c r="L24" s="38"/>
      <c r="N24" s="1">
        <v>37.6</v>
      </c>
      <c r="O24" s="1">
        <v>0</v>
      </c>
      <c r="P24" s="1">
        <v>50.4</v>
      </c>
      <c r="Q24" s="1">
        <v>0</v>
      </c>
      <c r="R24" s="1">
        <v>0</v>
      </c>
      <c r="S24" s="1">
        <v>2.31</v>
      </c>
      <c r="T24" s="1">
        <v>0</v>
      </c>
      <c r="U24" s="1">
        <v>7290</v>
      </c>
      <c r="V24" s="1">
        <v>4000</v>
      </c>
      <c r="W24" s="8">
        <f t="shared" si="4"/>
        <v>29.16</v>
      </c>
      <c r="Z24" s="8">
        <f t="shared" si="5"/>
        <v>30.618000000000002</v>
      </c>
    </row>
    <row r="25" spans="1:26" x14ac:dyDescent="0.25">
      <c r="A25" s="44">
        <v>21</v>
      </c>
      <c r="B25" s="12" t="s">
        <v>121</v>
      </c>
      <c r="C25" s="25">
        <f t="shared" si="7"/>
        <v>69.510000000000005</v>
      </c>
      <c r="D25" s="25">
        <f t="shared" si="8"/>
        <v>95.88</v>
      </c>
      <c r="E25" s="25"/>
      <c r="F25" s="25"/>
      <c r="G25" s="25">
        <f t="shared" si="3"/>
        <v>165.39</v>
      </c>
      <c r="H25" s="37"/>
      <c r="I25" s="33"/>
      <c r="J25" s="35"/>
      <c r="K25" s="33">
        <f t="shared" si="0"/>
        <v>0</v>
      </c>
      <c r="L25" s="38"/>
      <c r="N25" s="1">
        <v>66.959999999999994</v>
      </c>
      <c r="O25" s="1">
        <v>2.5499999999999998</v>
      </c>
      <c r="P25" s="1">
        <v>89.69</v>
      </c>
      <c r="Q25" s="1">
        <v>8.5</v>
      </c>
      <c r="R25" s="1">
        <v>0</v>
      </c>
      <c r="S25" s="1">
        <v>2.31</v>
      </c>
      <c r="T25" s="1">
        <v>0</v>
      </c>
      <c r="U25" s="1">
        <v>8867</v>
      </c>
      <c r="V25" s="1">
        <v>4000</v>
      </c>
      <c r="W25" s="8">
        <f t="shared" si="4"/>
        <v>35.47</v>
      </c>
      <c r="Z25" s="8">
        <f t="shared" si="5"/>
        <v>37.243499999999997</v>
      </c>
    </row>
    <row r="26" spans="1:26" x14ac:dyDescent="0.25">
      <c r="A26" s="44">
        <v>22</v>
      </c>
      <c r="B26" s="12" t="s">
        <v>122</v>
      </c>
      <c r="C26" s="25"/>
      <c r="D26" s="25"/>
      <c r="E26" s="25">
        <f>SUM(N26:R26)-SUM(S26:T26)</f>
        <v>38.590000000000003</v>
      </c>
      <c r="F26" s="25"/>
      <c r="G26" s="25">
        <f t="shared" si="3"/>
        <v>38.590000000000003</v>
      </c>
      <c r="H26" s="37"/>
      <c r="I26" s="33"/>
      <c r="J26" s="35"/>
      <c r="K26" s="33">
        <f t="shared" si="0"/>
        <v>0</v>
      </c>
      <c r="L26" s="38"/>
      <c r="M26" s="1" t="s">
        <v>68</v>
      </c>
      <c r="N26" s="1">
        <v>0</v>
      </c>
      <c r="O26" s="1">
        <v>0</v>
      </c>
      <c r="P26" s="1">
        <v>40.880000000000003</v>
      </c>
      <c r="Q26" s="1">
        <v>0</v>
      </c>
      <c r="R26" s="1">
        <v>0</v>
      </c>
      <c r="S26" s="1">
        <v>2.29</v>
      </c>
      <c r="T26" s="1">
        <v>0</v>
      </c>
      <c r="U26" s="1">
        <v>12084</v>
      </c>
      <c r="V26" s="1">
        <v>4000</v>
      </c>
      <c r="W26" s="8">
        <f t="shared" si="4"/>
        <v>48.34</v>
      </c>
      <c r="Z26" s="8">
        <f t="shared" si="5"/>
        <v>50.757000000000005</v>
      </c>
    </row>
    <row r="27" spans="1:26" x14ac:dyDescent="0.25">
      <c r="A27" s="44">
        <v>23</v>
      </c>
      <c r="B27" s="12" t="s">
        <v>123</v>
      </c>
      <c r="C27" s="25">
        <f t="shared" si="7"/>
        <v>13.56</v>
      </c>
      <c r="D27" s="25">
        <f t="shared" si="8"/>
        <v>48.85</v>
      </c>
      <c r="E27" s="25"/>
      <c r="F27" s="25"/>
      <c r="G27" s="25">
        <f t="shared" si="3"/>
        <v>62.410000000000004</v>
      </c>
      <c r="H27" s="37"/>
      <c r="I27" s="33"/>
      <c r="J27" s="35"/>
      <c r="K27" s="33">
        <f t="shared" si="0"/>
        <v>0</v>
      </c>
      <c r="L27" s="38"/>
      <c r="M27" s="1" t="s">
        <v>68</v>
      </c>
      <c r="N27" s="1">
        <v>13.56</v>
      </c>
      <c r="O27" s="1">
        <v>0</v>
      </c>
      <c r="P27" s="1">
        <v>52</v>
      </c>
      <c r="Q27" s="1">
        <v>0</v>
      </c>
      <c r="R27" s="1">
        <v>0</v>
      </c>
      <c r="S27" s="1">
        <v>3.15</v>
      </c>
      <c r="T27" s="1">
        <v>0</v>
      </c>
      <c r="U27" s="1">
        <f>5400+3590+2000</f>
        <v>10990</v>
      </c>
      <c r="V27" s="1">
        <v>4000</v>
      </c>
      <c r="W27" s="8">
        <f t="shared" si="4"/>
        <v>43.96</v>
      </c>
      <c r="Z27" s="8">
        <f t="shared" si="5"/>
        <v>46.158000000000001</v>
      </c>
    </row>
    <row r="28" spans="1:26" x14ac:dyDescent="0.25">
      <c r="A28" s="28"/>
      <c r="B28" s="28" t="s">
        <v>19</v>
      </c>
      <c r="C28" s="25">
        <f>SUM(C5:C27)</f>
        <v>840.60999999999979</v>
      </c>
      <c r="D28" s="25">
        <f>SUM(D5:D27)</f>
        <v>1864.9899999999998</v>
      </c>
      <c r="E28" s="25">
        <f>SUM(E5:E27)</f>
        <v>38.590000000000003</v>
      </c>
      <c r="F28" s="25">
        <f>SUM(F5:F27)</f>
        <v>261.49</v>
      </c>
      <c r="G28" s="25">
        <f>SUM(G5:G27)</f>
        <v>3005.68</v>
      </c>
      <c r="H28" s="37"/>
      <c r="I28" s="33"/>
      <c r="J28" s="35"/>
      <c r="K28" s="33"/>
      <c r="L28" s="38"/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E26"/>
  <sheetViews>
    <sheetView zoomScaleNormal="100" workbookViewId="0">
      <selection activeCell="F22" sqref="C22:F22"/>
    </sheetView>
  </sheetViews>
  <sheetFormatPr defaultColWidth="9.109375" defaultRowHeight="13.2" x14ac:dyDescent="0.25"/>
  <cols>
    <col min="1" max="1" width="7.5546875" style="10" customWidth="1"/>
    <col min="2" max="2" width="50.33203125" style="7" customWidth="1"/>
    <col min="3" max="3" width="9.109375" style="10" customWidth="1"/>
    <col min="4" max="4" width="14.5546875" style="23" customWidth="1"/>
    <col min="5" max="5" width="8.88671875" style="26" customWidth="1"/>
    <col min="6" max="16384" width="9.109375" style="1"/>
  </cols>
  <sheetData>
    <row r="1" spans="1:5" x14ac:dyDescent="0.25">
      <c r="A1" s="16"/>
      <c r="B1" s="17" t="s">
        <v>70</v>
      </c>
      <c r="C1" s="11"/>
      <c r="D1" s="22"/>
      <c r="E1" s="24"/>
    </row>
    <row r="2" spans="1:5" ht="13.8" thickBot="1" x14ac:dyDescent="0.3">
      <c r="A2" s="46" t="s">
        <v>0</v>
      </c>
      <c r="B2" s="47" t="s">
        <v>1</v>
      </c>
      <c r="C2" s="48" t="s">
        <v>15</v>
      </c>
      <c r="D2" s="49" t="s">
        <v>16</v>
      </c>
      <c r="E2" s="50" t="s">
        <v>8</v>
      </c>
    </row>
    <row r="3" spans="1:5" ht="38.25" customHeight="1" x14ac:dyDescent="0.25">
      <c r="A3" s="63" t="s">
        <v>11</v>
      </c>
      <c r="B3" s="71" t="s">
        <v>71</v>
      </c>
      <c r="C3" s="65" t="s">
        <v>9</v>
      </c>
      <c r="D3" s="54">
        <v>1</v>
      </c>
      <c r="E3" s="55">
        <v>3167.2299999999996</v>
      </c>
    </row>
    <row r="4" spans="1:5" x14ac:dyDescent="0.25">
      <c r="A4" s="67" t="s">
        <v>7</v>
      </c>
      <c r="B4" s="4" t="s">
        <v>89</v>
      </c>
      <c r="C4" s="3" t="s">
        <v>10</v>
      </c>
      <c r="D4" s="9">
        <v>0.3</v>
      </c>
      <c r="E4" s="57">
        <f>D4*E3</f>
        <v>950.16899999999987</v>
      </c>
    </row>
    <row r="5" spans="1:5" ht="13.8" thickBot="1" x14ac:dyDescent="0.3">
      <c r="A5" s="68" t="s">
        <v>72</v>
      </c>
      <c r="B5" s="69" t="s">
        <v>73</v>
      </c>
      <c r="C5" s="70" t="s">
        <v>9</v>
      </c>
      <c r="D5" s="61">
        <v>1.1000000000000001</v>
      </c>
      <c r="E5" s="62">
        <f>D5*E3</f>
        <v>3483.953</v>
      </c>
    </row>
    <row r="6" spans="1:5" ht="39.6" x14ac:dyDescent="0.25">
      <c r="A6" s="63" t="s">
        <v>12</v>
      </c>
      <c r="B6" s="71" t="s">
        <v>81</v>
      </c>
      <c r="C6" s="65" t="s">
        <v>82</v>
      </c>
      <c r="D6" s="54">
        <v>1</v>
      </c>
      <c r="E6" s="55">
        <f>сп1.2.3эт!C22</f>
        <v>235.59000000000003</v>
      </c>
    </row>
    <row r="7" spans="1:5" x14ac:dyDescent="0.25">
      <c r="A7" s="67" t="s">
        <v>13</v>
      </c>
      <c r="B7" s="4" t="s">
        <v>6</v>
      </c>
      <c r="C7" s="3" t="s">
        <v>10</v>
      </c>
      <c r="D7" s="9">
        <v>1.3</v>
      </c>
      <c r="E7" s="57">
        <f>$E$6*D7*23.077</f>
        <v>7067.7235590000018</v>
      </c>
    </row>
    <row r="8" spans="1:5" x14ac:dyDescent="0.25">
      <c r="A8" s="67" t="s">
        <v>14</v>
      </c>
      <c r="B8" s="21" t="s">
        <v>113</v>
      </c>
      <c r="C8" s="3" t="s">
        <v>82</v>
      </c>
      <c r="D8" s="9">
        <v>1.1000000000000001</v>
      </c>
      <c r="E8" s="57">
        <f t="shared" ref="E8:E10" si="0">$E$6*D8</f>
        <v>259.14900000000006</v>
      </c>
    </row>
    <row r="9" spans="1:5" x14ac:dyDescent="0.25">
      <c r="A9" s="67" t="s">
        <v>74</v>
      </c>
      <c r="B9" s="4" t="s">
        <v>80</v>
      </c>
      <c r="C9" s="3" t="s">
        <v>9</v>
      </c>
      <c r="D9" s="9">
        <v>1</v>
      </c>
      <c r="E9" s="57">
        <f t="shared" si="0"/>
        <v>235.59000000000003</v>
      </c>
    </row>
    <row r="10" spans="1:5" ht="13.8" thickBot="1" x14ac:dyDescent="0.3">
      <c r="A10" s="68" t="s">
        <v>86</v>
      </c>
      <c r="B10" s="69" t="s">
        <v>18</v>
      </c>
      <c r="C10" s="70" t="s">
        <v>10</v>
      </c>
      <c r="D10" s="61">
        <v>0.25</v>
      </c>
      <c r="E10" s="62">
        <f t="shared" si="0"/>
        <v>58.897500000000008</v>
      </c>
    </row>
    <row r="11" spans="1:5" ht="39.6" x14ac:dyDescent="0.25">
      <c r="A11" s="63" t="s">
        <v>75</v>
      </c>
      <c r="B11" s="64" t="s">
        <v>83</v>
      </c>
      <c r="C11" s="65" t="s">
        <v>82</v>
      </c>
      <c r="D11" s="54">
        <v>1</v>
      </c>
      <c r="E11" s="55">
        <f>сп1.2.3эт!E22</f>
        <v>124.25</v>
      </c>
    </row>
    <row r="12" spans="1:5" x14ac:dyDescent="0.25">
      <c r="A12" s="67" t="s">
        <v>76</v>
      </c>
      <c r="B12" s="4" t="s">
        <v>18</v>
      </c>
      <c r="C12" s="3" t="s">
        <v>10</v>
      </c>
      <c r="D12" s="9">
        <v>0.25</v>
      </c>
      <c r="E12" s="57">
        <f>E11*D12</f>
        <v>31.0625</v>
      </c>
    </row>
    <row r="13" spans="1:5" x14ac:dyDescent="0.25">
      <c r="A13" s="67" t="s">
        <v>77</v>
      </c>
      <c r="B13" s="4" t="s">
        <v>80</v>
      </c>
      <c r="C13" s="3" t="s">
        <v>9</v>
      </c>
      <c r="D13" s="9">
        <v>1</v>
      </c>
      <c r="E13" s="57">
        <f>E11*D13</f>
        <v>124.25</v>
      </c>
    </row>
    <row r="14" spans="1:5" x14ac:dyDescent="0.25">
      <c r="A14" s="67" t="s">
        <v>78</v>
      </c>
      <c r="B14" s="21" t="s">
        <v>113</v>
      </c>
      <c r="C14" s="3" t="s">
        <v>82</v>
      </c>
      <c r="D14" s="9">
        <v>1.1000000000000001</v>
      </c>
      <c r="E14" s="57">
        <f>E11*D14</f>
        <v>136.67500000000001</v>
      </c>
    </row>
    <row r="15" spans="1:5" ht="13.8" thickBot="1" x14ac:dyDescent="0.3">
      <c r="A15" s="68" t="s">
        <v>79</v>
      </c>
      <c r="B15" s="69" t="s">
        <v>6</v>
      </c>
      <c r="C15" s="70" t="s">
        <v>10</v>
      </c>
      <c r="D15" s="61">
        <v>1.3</v>
      </c>
      <c r="E15" s="62">
        <f>E11*D15*23.077</f>
        <v>3727.5124250000003</v>
      </c>
    </row>
    <row r="16" spans="1:5" ht="39.6" x14ac:dyDescent="0.25">
      <c r="A16" s="63" t="s">
        <v>87</v>
      </c>
      <c r="B16" s="64" t="s">
        <v>84</v>
      </c>
      <c r="C16" s="65" t="s">
        <v>82</v>
      </c>
      <c r="D16" s="54">
        <v>1</v>
      </c>
      <c r="E16" s="55">
        <f>сп1.2.3эт!F22</f>
        <v>225.55</v>
      </c>
    </row>
    <row r="17" spans="1:5" x14ac:dyDescent="0.25">
      <c r="A17" s="56">
        <v>4.0999999999999996</v>
      </c>
      <c r="B17" s="21" t="s">
        <v>6</v>
      </c>
      <c r="C17" s="72" t="s">
        <v>10</v>
      </c>
      <c r="D17" s="9">
        <v>1.3</v>
      </c>
      <c r="E17" s="57">
        <f>E16*D17*23.077</f>
        <v>6766.5225550000014</v>
      </c>
    </row>
    <row r="18" spans="1:5" x14ac:dyDescent="0.25">
      <c r="A18" s="56">
        <v>4.2</v>
      </c>
      <c r="B18" s="21" t="s">
        <v>113</v>
      </c>
      <c r="C18" s="72" t="s">
        <v>82</v>
      </c>
      <c r="D18" s="9">
        <v>1.1000000000000001</v>
      </c>
      <c r="E18" s="57">
        <f>E16*D18</f>
        <v>248.10500000000005</v>
      </c>
    </row>
    <row r="19" spans="1:5" x14ac:dyDescent="0.25">
      <c r="A19" s="56">
        <v>4.3</v>
      </c>
      <c r="B19" s="21" t="s">
        <v>80</v>
      </c>
      <c r="C19" s="72" t="s">
        <v>9</v>
      </c>
      <c r="D19" s="9">
        <v>1</v>
      </c>
      <c r="E19" s="57">
        <f>E16*D19</f>
        <v>225.55</v>
      </c>
    </row>
    <row r="20" spans="1:5" ht="13.8" thickBot="1" x14ac:dyDescent="0.3">
      <c r="A20" s="58">
        <v>4.4000000000000004</v>
      </c>
      <c r="B20" s="66" t="s">
        <v>18</v>
      </c>
      <c r="C20" s="60" t="s">
        <v>10</v>
      </c>
      <c r="D20" s="61">
        <v>0.25</v>
      </c>
      <c r="E20" s="62">
        <f>E16*D20</f>
        <v>56.387500000000003</v>
      </c>
    </row>
    <row r="21" spans="1:5" ht="39.6" x14ac:dyDescent="0.25">
      <c r="A21" s="51">
        <v>5</v>
      </c>
      <c r="B21" s="52" t="s">
        <v>85</v>
      </c>
      <c r="C21" s="53" t="s">
        <v>82</v>
      </c>
      <c r="D21" s="54">
        <v>1</v>
      </c>
      <c r="E21" s="55">
        <f>сп1.2.3эт!D22</f>
        <v>1208.07</v>
      </c>
    </row>
    <row r="22" spans="1:5" x14ac:dyDescent="0.25">
      <c r="A22" s="56">
        <v>5.0999999999999996</v>
      </c>
      <c r="B22" s="21" t="s">
        <v>17</v>
      </c>
      <c r="C22" s="72" t="s">
        <v>10</v>
      </c>
      <c r="D22" s="9">
        <v>0.15</v>
      </c>
      <c r="E22" s="57">
        <f>E21*D22</f>
        <v>181.2105</v>
      </c>
    </row>
    <row r="23" spans="1:5" x14ac:dyDescent="0.25">
      <c r="A23" s="56">
        <v>5.2</v>
      </c>
      <c r="B23" s="21" t="s">
        <v>80</v>
      </c>
      <c r="C23" s="72" t="s">
        <v>9</v>
      </c>
      <c r="D23" s="9">
        <v>1</v>
      </c>
      <c r="E23" s="57">
        <f>E21*D23</f>
        <v>1208.07</v>
      </c>
    </row>
    <row r="24" spans="1:5" x14ac:dyDescent="0.25">
      <c r="A24" s="56">
        <v>5.3</v>
      </c>
      <c r="B24" s="21" t="s">
        <v>113</v>
      </c>
      <c r="C24" s="72" t="s">
        <v>82</v>
      </c>
      <c r="D24" s="9">
        <v>1.1000000000000001</v>
      </c>
      <c r="E24" s="57">
        <f>E21*D24</f>
        <v>1328.877</v>
      </c>
    </row>
    <row r="25" spans="1:5" x14ac:dyDescent="0.25">
      <c r="A25" s="56">
        <v>5.4</v>
      </c>
      <c r="B25" s="21" t="s">
        <v>6</v>
      </c>
      <c r="C25" s="72" t="s">
        <v>10</v>
      </c>
      <c r="D25" s="9">
        <v>1.3</v>
      </c>
      <c r="E25" s="57">
        <f>E21*D25*23.077</f>
        <v>36242.220807000005</v>
      </c>
    </row>
    <row r="26" spans="1:5" ht="13.8" thickBot="1" x14ac:dyDescent="0.3">
      <c r="A26" s="58">
        <v>6</v>
      </c>
      <c r="B26" s="59" t="s">
        <v>88</v>
      </c>
      <c r="C26" s="60" t="s">
        <v>9</v>
      </c>
      <c r="D26" s="61">
        <v>1</v>
      </c>
      <c r="E26" s="62">
        <v>315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G22"/>
  <sheetViews>
    <sheetView zoomScale="130" zoomScaleNormal="130" workbookViewId="0">
      <selection activeCell="B9" sqref="B9"/>
    </sheetView>
  </sheetViews>
  <sheetFormatPr defaultColWidth="9.109375" defaultRowHeight="13.2" x14ac:dyDescent="0.25"/>
  <cols>
    <col min="1" max="1" width="7" style="10" customWidth="1"/>
    <col min="2" max="2" width="11.109375" style="10" customWidth="1"/>
    <col min="3" max="6" width="8.6640625" style="10" customWidth="1"/>
    <col min="7" max="7" width="8.6640625" style="27" customWidth="1"/>
    <col min="8" max="16384" width="9.109375" style="1"/>
  </cols>
  <sheetData>
    <row r="1" spans="1:7" x14ac:dyDescent="0.25">
      <c r="A1" s="328" t="s">
        <v>2</v>
      </c>
      <c r="B1" s="328"/>
      <c r="C1" s="328"/>
      <c r="D1" s="328"/>
      <c r="E1" s="328"/>
      <c r="F1" s="328"/>
      <c r="G1" s="328"/>
    </row>
    <row r="2" spans="1:7" x14ac:dyDescent="0.25">
      <c r="A2" s="271" t="s">
        <v>64</v>
      </c>
      <c r="B2" s="271"/>
      <c r="C2" s="271"/>
      <c r="D2" s="271"/>
      <c r="E2" s="271"/>
      <c r="F2" s="271"/>
      <c r="G2" s="271"/>
    </row>
    <row r="3" spans="1:7" ht="26.4" x14ac:dyDescent="0.25">
      <c r="A3" s="72"/>
      <c r="B3" s="12"/>
      <c r="C3" s="6" t="s">
        <v>65</v>
      </c>
      <c r="D3" s="73" t="s">
        <v>69</v>
      </c>
      <c r="E3" s="73" t="s">
        <v>68</v>
      </c>
      <c r="F3" s="73" t="s">
        <v>67</v>
      </c>
      <c r="G3" s="15" t="s">
        <v>3</v>
      </c>
    </row>
    <row r="4" spans="1:7" x14ac:dyDescent="0.25">
      <c r="A4" s="72" t="s">
        <v>0</v>
      </c>
      <c r="B4" s="14" t="s">
        <v>5</v>
      </c>
      <c r="C4" s="3" t="s">
        <v>4</v>
      </c>
      <c r="D4" s="3" t="s">
        <v>4</v>
      </c>
      <c r="E4" s="3" t="s">
        <v>4</v>
      </c>
      <c r="F4" s="3" t="s">
        <v>4</v>
      </c>
      <c r="G4" s="25" t="s">
        <v>4</v>
      </c>
    </row>
    <row r="5" spans="1:7" x14ac:dyDescent="0.25">
      <c r="A5" s="72">
        <v>1</v>
      </c>
      <c r="B5" s="12" t="s">
        <v>125</v>
      </c>
      <c r="C5" s="25"/>
      <c r="D5" s="25"/>
      <c r="E5" s="25"/>
      <c r="F5" s="25">
        <v>75.790000000000006</v>
      </c>
      <c r="G5" s="25">
        <f>SUM(C5:F5)</f>
        <v>75.790000000000006</v>
      </c>
    </row>
    <row r="6" spans="1:7" x14ac:dyDescent="0.25">
      <c r="A6" s="74">
        <v>2</v>
      </c>
      <c r="B6" s="12" t="s">
        <v>126</v>
      </c>
      <c r="C6" s="25"/>
      <c r="D6" s="25"/>
      <c r="E6" s="25"/>
      <c r="F6" s="25">
        <v>93.93</v>
      </c>
      <c r="G6" s="25">
        <f t="shared" ref="G6:G21" si="0">SUM(C6:F6)</f>
        <v>93.93</v>
      </c>
    </row>
    <row r="7" spans="1:7" x14ac:dyDescent="0.25">
      <c r="A7" s="74">
        <v>3</v>
      </c>
      <c r="B7" s="12" t="s">
        <v>127</v>
      </c>
      <c r="C7" s="25"/>
      <c r="D7" s="25"/>
      <c r="E7" s="25"/>
      <c r="F7" s="25">
        <v>34.979999999999997</v>
      </c>
      <c r="G7" s="25">
        <f t="shared" si="0"/>
        <v>34.979999999999997</v>
      </c>
    </row>
    <row r="8" spans="1:7" x14ac:dyDescent="0.25">
      <c r="A8" s="74">
        <v>4</v>
      </c>
      <c r="B8" s="12" t="s">
        <v>124</v>
      </c>
      <c r="C8" s="25"/>
      <c r="D8" s="25"/>
      <c r="E8" s="25"/>
      <c r="F8" s="25">
        <v>20.85</v>
      </c>
      <c r="G8" s="25">
        <f t="shared" si="0"/>
        <v>20.85</v>
      </c>
    </row>
    <row r="9" spans="1:7" x14ac:dyDescent="0.25">
      <c r="A9" s="74">
        <v>5</v>
      </c>
      <c r="B9" s="12" t="s">
        <v>128</v>
      </c>
      <c r="C9" s="25"/>
      <c r="D9" s="25"/>
      <c r="E9" s="25">
        <v>38.89</v>
      </c>
      <c r="F9" s="25"/>
      <c r="G9" s="25">
        <f t="shared" si="0"/>
        <v>38.89</v>
      </c>
    </row>
    <row r="10" spans="1:7" x14ac:dyDescent="0.25">
      <c r="A10" s="74">
        <v>6</v>
      </c>
      <c r="B10" s="12" t="s">
        <v>130</v>
      </c>
      <c r="C10" s="25">
        <v>1.89</v>
      </c>
      <c r="D10" s="25">
        <v>83.51</v>
      </c>
      <c r="E10" s="25"/>
      <c r="F10" s="25"/>
      <c r="G10" s="25">
        <f t="shared" si="0"/>
        <v>85.4</v>
      </c>
    </row>
    <row r="11" spans="1:7" x14ac:dyDescent="0.25">
      <c r="A11" s="74">
        <v>7</v>
      </c>
      <c r="B11" s="12" t="s">
        <v>131</v>
      </c>
      <c r="C11" s="25">
        <v>1.63</v>
      </c>
      <c r="D11" s="25">
        <v>87.22</v>
      </c>
      <c r="E11" s="25"/>
      <c r="F11" s="25"/>
      <c r="G11" s="25">
        <f t="shared" si="0"/>
        <v>88.85</v>
      </c>
    </row>
    <row r="12" spans="1:7" x14ac:dyDescent="0.25">
      <c r="A12" s="74">
        <v>8</v>
      </c>
      <c r="B12" s="12" t="s">
        <v>132</v>
      </c>
      <c r="C12" s="25">
        <v>66.650000000000006</v>
      </c>
      <c r="D12" s="25">
        <v>161.4</v>
      </c>
      <c r="E12" s="25"/>
      <c r="F12" s="25"/>
      <c r="G12" s="25">
        <f t="shared" si="0"/>
        <v>228.05</v>
      </c>
    </row>
    <row r="13" spans="1:7" x14ac:dyDescent="0.25">
      <c r="A13" s="74">
        <v>9</v>
      </c>
      <c r="B13" s="12" t="s">
        <v>133</v>
      </c>
      <c r="C13" s="25">
        <v>69.88</v>
      </c>
      <c r="D13" s="25">
        <v>357.36</v>
      </c>
      <c r="E13" s="25"/>
      <c r="F13" s="25"/>
      <c r="G13" s="25">
        <f t="shared" si="0"/>
        <v>427.24</v>
      </c>
    </row>
    <row r="14" spans="1:7" x14ac:dyDescent="0.25">
      <c r="A14" s="74">
        <v>10</v>
      </c>
      <c r="B14" s="12" t="s">
        <v>134</v>
      </c>
      <c r="C14" s="25">
        <v>36.6</v>
      </c>
      <c r="D14" s="25">
        <v>41.25</v>
      </c>
      <c r="E14" s="25"/>
      <c r="F14" s="25"/>
      <c r="G14" s="25">
        <f t="shared" si="0"/>
        <v>77.849999999999994</v>
      </c>
    </row>
    <row r="15" spans="1:7" x14ac:dyDescent="0.25">
      <c r="A15" s="74">
        <v>11</v>
      </c>
      <c r="B15" s="12" t="s">
        <v>135</v>
      </c>
      <c r="C15" s="25">
        <v>32.200000000000003</v>
      </c>
      <c r="D15" s="25">
        <v>287.72000000000003</v>
      </c>
      <c r="E15" s="25"/>
      <c r="F15" s="25"/>
      <c r="G15" s="25">
        <f t="shared" si="0"/>
        <v>319.92</v>
      </c>
    </row>
    <row r="16" spans="1:7" x14ac:dyDescent="0.25">
      <c r="A16" s="74">
        <v>12</v>
      </c>
      <c r="B16" s="12" t="s">
        <v>136</v>
      </c>
      <c r="C16" s="25">
        <v>1.02</v>
      </c>
      <c r="D16" s="25">
        <v>82.31</v>
      </c>
      <c r="E16" s="25"/>
      <c r="F16" s="25"/>
      <c r="G16" s="25">
        <f t="shared" si="0"/>
        <v>83.33</v>
      </c>
    </row>
    <row r="17" spans="1:7" x14ac:dyDescent="0.25">
      <c r="A17" s="74">
        <v>13</v>
      </c>
      <c r="B17" s="12" t="s">
        <v>50</v>
      </c>
      <c r="C17" s="25"/>
      <c r="D17" s="25"/>
      <c r="E17" s="25">
        <v>28.81</v>
      </c>
      <c r="F17" s="25"/>
      <c r="G17" s="25">
        <f t="shared" si="0"/>
        <v>28.81</v>
      </c>
    </row>
    <row r="18" spans="1:7" x14ac:dyDescent="0.25">
      <c r="A18" s="74">
        <v>14</v>
      </c>
      <c r="B18" s="12" t="s">
        <v>51</v>
      </c>
      <c r="C18" s="25"/>
      <c r="D18" s="25"/>
      <c r="E18" s="25">
        <v>28.19</v>
      </c>
      <c r="F18" s="25"/>
      <c r="G18" s="25">
        <f t="shared" si="0"/>
        <v>28.19</v>
      </c>
    </row>
    <row r="19" spans="1:7" x14ac:dyDescent="0.25">
      <c r="A19" s="74">
        <v>15</v>
      </c>
      <c r="B19" s="12" t="s">
        <v>55</v>
      </c>
      <c r="C19" s="25"/>
      <c r="D19" s="25"/>
      <c r="E19" s="25">
        <v>28.36</v>
      </c>
      <c r="F19" s="25"/>
      <c r="G19" s="25">
        <f t="shared" si="0"/>
        <v>28.36</v>
      </c>
    </row>
    <row r="20" spans="1:7" x14ac:dyDescent="0.25">
      <c r="A20" s="74">
        <v>16</v>
      </c>
      <c r="B20" s="12" t="s">
        <v>137</v>
      </c>
      <c r="C20" s="25">
        <v>24.7</v>
      </c>
      <c r="D20" s="25">
        <v>53.51</v>
      </c>
      <c r="E20" s="25"/>
      <c r="F20" s="25"/>
      <c r="G20" s="25">
        <f t="shared" si="0"/>
        <v>78.209999999999994</v>
      </c>
    </row>
    <row r="21" spans="1:7" x14ac:dyDescent="0.25">
      <c r="A21" s="74">
        <v>17</v>
      </c>
      <c r="B21" s="12" t="s">
        <v>138</v>
      </c>
      <c r="C21" s="25">
        <v>1.02</v>
      </c>
      <c r="D21" s="25">
        <v>53.79</v>
      </c>
      <c r="E21" s="25"/>
      <c r="F21" s="25"/>
      <c r="G21" s="25">
        <f t="shared" si="0"/>
        <v>54.81</v>
      </c>
    </row>
    <row r="22" spans="1:7" x14ac:dyDescent="0.25">
      <c r="A22" s="72"/>
      <c r="B22" s="72" t="s">
        <v>19</v>
      </c>
      <c r="C22" s="25">
        <f>SUM(C5:C21)</f>
        <v>235.59000000000003</v>
      </c>
      <c r="D22" s="25">
        <f>SUM(D5:D21)</f>
        <v>1208.07</v>
      </c>
      <c r="E22" s="25">
        <f>SUM(E5:E21)</f>
        <v>124.25</v>
      </c>
      <c r="F22" s="25">
        <f>SUM(F5:F21)</f>
        <v>225.55</v>
      </c>
      <c r="G22" s="25">
        <f>SUM(G5:G21)</f>
        <v>1793.4599999999998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F22" sqref="C22:F22"/>
    </sheetView>
  </sheetViews>
  <sheetFormatPr defaultRowHeight="14.4" x14ac:dyDescent="0.3"/>
  <sheetData>
    <row r="1" spans="1:4" x14ac:dyDescent="0.3">
      <c r="A1" t="s">
        <v>140</v>
      </c>
      <c r="B1" t="s">
        <v>139</v>
      </c>
      <c r="C1" t="s">
        <v>142</v>
      </c>
      <c r="D1" t="s">
        <v>143</v>
      </c>
    </row>
    <row r="2" spans="1:4" x14ac:dyDescent="0.3">
      <c r="A2">
        <v>1</v>
      </c>
      <c r="B2" s="76">
        <v>544.88</v>
      </c>
      <c r="C2" s="76">
        <v>528.22</v>
      </c>
      <c r="D2" s="76">
        <v>563.80999999999995</v>
      </c>
    </row>
    <row r="3" spans="1:4" x14ac:dyDescent="0.3">
      <c r="B3" s="76"/>
      <c r="C3" s="76"/>
      <c r="D3" s="76"/>
    </row>
    <row r="4" spans="1:4" x14ac:dyDescent="0.3">
      <c r="A4">
        <v>4.0999999999999996</v>
      </c>
      <c r="B4" s="76">
        <v>492.07</v>
      </c>
      <c r="C4" s="76">
        <v>542.94000000000005</v>
      </c>
      <c r="D4" s="76">
        <v>303.39999999999998</v>
      </c>
    </row>
    <row r="5" spans="1:4" x14ac:dyDescent="0.3">
      <c r="A5" t="s">
        <v>129</v>
      </c>
      <c r="B5" s="77">
        <f>B4+B2</f>
        <v>1036.95</v>
      </c>
      <c r="C5" s="77">
        <f>C4+C2</f>
        <v>1071.1600000000001</v>
      </c>
      <c r="D5" s="77">
        <f>D4+D2</f>
        <v>867.20999999999992</v>
      </c>
    </row>
    <row r="6" spans="1:4" x14ac:dyDescent="0.3">
      <c r="B6" s="75"/>
      <c r="C6" s="75"/>
      <c r="D6" s="75"/>
    </row>
    <row r="7" spans="1:4" x14ac:dyDescent="0.3">
      <c r="A7" t="s">
        <v>144</v>
      </c>
      <c r="B7" s="75">
        <f>991.77</f>
        <v>991.77</v>
      </c>
      <c r="C7" s="75">
        <f>'ВОР 2 э. шт.'!E6</f>
        <v>907.35119999999995</v>
      </c>
      <c r="D7" s="75">
        <f>'ВОР 3 э. шт.'!E6</f>
        <v>840.60999999999979</v>
      </c>
    </row>
    <row r="8" spans="1:4" x14ac:dyDescent="0.3">
      <c r="B8" s="75">
        <f>B5-B7</f>
        <v>45.180000000000064</v>
      </c>
      <c r="C8" s="75">
        <f t="shared" ref="C8" si="0">C5-C7</f>
        <v>163.80880000000013</v>
      </c>
      <c r="D8" s="75">
        <f t="shared" ref="D8" si="1">D5-D7</f>
        <v>26.600000000000136</v>
      </c>
    </row>
    <row r="9" spans="1:4" x14ac:dyDescent="0.3">
      <c r="A9" t="s">
        <v>141</v>
      </c>
    </row>
    <row r="10" spans="1:4" x14ac:dyDescent="0.3">
      <c r="A10">
        <v>1</v>
      </c>
      <c r="B10" s="76">
        <v>771.83</v>
      </c>
      <c r="C10" s="76">
        <v>972.84</v>
      </c>
      <c r="D10" s="76">
        <v>1176.67</v>
      </c>
    </row>
    <row r="11" spans="1:4" x14ac:dyDescent="0.3">
      <c r="B11" s="76"/>
      <c r="C11" s="76"/>
      <c r="D11" s="76"/>
    </row>
    <row r="12" spans="1:4" x14ac:dyDescent="0.3">
      <c r="A12">
        <v>4.0999999999999996</v>
      </c>
      <c r="B12" s="76">
        <v>927.42</v>
      </c>
      <c r="C12" s="76">
        <v>1669.68</v>
      </c>
      <c r="D12" s="76">
        <v>707.8</v>
      </c>
    </row>
    <row r="13" spans="1:4" x14ac:dyDescent="0.3">
      <c r="A13" t="s">
        <v>129</v>
      </c>
      <c r="B13" s="77">
        <f>B12+B10</f>
        <v>1699.25</v>
      </c>
      <c r="C13" s="77">
        <f>C12+C10</f>
        <v>2642.52</v>
      </c>
      <c r="D13" s="77">
        <f>D12+D10</f>
        <v>1884.47</v>
      </c>
    </row>
    <row r="15" spans="1:4" x14ac:dyDescent="0.3">
      <c r="A15" t="s">
        <v>144</v>
      </c>
      <c r="B15">
        <f>1615</f>
        <v>1615</v>
      </c>
      <c r="C15" s="75">
        <f>'ВОР 2 э. шт.'!E21</f>
        <v>1761.3287999999998</v>
      </c>
      <c r="D15" s="75">
        <f>'ВОР 3 э. шт.'!E21</f>
        <v>1864.9899999999998</v>
      </c>
    </row>
    <row r="16" spans="1:4" x14ac:dyDescent="0.3">
      <c r="B16" s="75">
        <f>B13-B15</f>
        <v>84.25</v>
      </c>
      <c r="C16" s="75">
        <f t="shared" ref="C16:D16" si="2">C13-C15</f>
        <v>881.19120000000021</v>
      </c>
      <c r="D16" s="75">
        <f t="shared" si="2"/>
        <v>19.480000000000246</v>
      </c>
    </row>
    <row r="21" spans="3:5" ht="15" thickBot="1" x14ac:dyDescent="0.35"/>
    <row r="22" spans="3:5" x14ac:dyDescent="0.3">
      <c r="C22" s="55">
        <f>(1432.33)/100 * 71</f>
        <v>1016.9543</v>
      </c>
      <c r="D22" s="55">
        <f>(2736)/100 * 71</f>
        <v>1942.56</v>
      </c>
      <c r="E22" s="75">
        <f>3617-D22-C22</f>
        <v>657.48570000000007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AD93"/>
  <sheetViews>
    <sheetView topLeftCell="A68" zoomScale="70" zoomScaleNormal="70" workbookViewId="0">
      <selection activeCell="C9" sqref="C9:C13"/>
    </sheetView>
  </sheetViews>
  <sheetFormatPr defaultColWidth="9.109375" defaultRowHeight="15.6" x14ac:dyDescent="0.3"/>
  <cols>
    <col min="1" max="2" width="9.109375" style="78"/>
    <col min="3" max="3" width="11.5546875" style="78" customWidth="1"/>
    <col min="4" max="7" width="10.5546875" style="78" customWidth="1"/>
    <col min="8" max="16384" width="9.109375" style="78"/>
  </cols>
  <sheetData>
    <row r="1" spans="1:30" x14ac:dyDescent="0.3">
      <c r="A1" s="329" t="s">
        <v>2</v>
      </c>
      <c r="B1" s="329"/>
      <c r="C1" s="329"/>
      <c r="D1" s="329"/>
      <c r="E1" s="329"/>
      <c r="F1" s="329"/>
      <c r="G1" s="329"/>
    </row>
    <row r="2" spans="1:30" x14ac:dyDescent="0.3">
      <c r="A2" s="79"/>
      <c r="B2" s="79"/>
      <c r="C2" s="94"/>
      <c r="D2" s="95" t="s">
        <v>149</v>
      </c>
      <c r="E2" s="96" t="s">
        <v>151</v>
      </c>
      <c r="F2" s="96" t="s">
        <v>152</v>
      </c>
      <c r="G2" s="80" t="s">
        <v>3</v>
      </c>
      <c r="S2" s="105"/>
      <c r="T2" s="105"/>
      <c r="U2" s="105" t="s">
        <v>171</v>
      </c>
      <c r="V2" s="105"/>
      <c r="W2" s="105"/>
      <c r="Y2" s="108" t="s">
        <v>172</v>
      </c>
      <c r="Z2" s="108"/>
      <c r="AA2" s="108"/>
      <c r="AC2" s="78" t="s">
        <v>166</v>
      </c>
    </row>
    <row r="3" spans="1:30" x14ac:dyDescent="0.3">
      <c r="A3" s="79" t="s">
        <v>0</v>
      </c>
      <c r="B3" s="79" t="s">
        <v>153</v>
      </c>
      <c r="C3" s="97" t="s">
        <v>5</v>
      </c>
      <c r="D3" s="98" t="s">
        <v>4</v>
      </c>
      <c r="E3" s="98" t="s">
        <v>4</v>
      </c>
      <c r="F3" s="98" t="s">
        <v>4</v>
      </c>
      <c r="G3" s="99" t="s">
        <v>4</v>
      </c>
      <c r="S3" s="106"/>
      <c r="T3" s="106"/>
      <c r="U3" s="106">
        <v>1</v>
      </c>
      <c r="V3" s="106">
        <v>4.0999999999999996</v>
      </c>
      <c r="W3" s="106" t="s">
        <v>164</v>
      </c>
      <c r="Y3" s="109">
        <v>1</v>
      </c>
      <c r="Z3" s="109">
        <v>4.0999999999999996</v>
      </c>
      <c r="AA3" s="109" t="s">
        <v>164</v>
      </c>
      <c r="AC3" s="78" t="s">
        <v>167</v>
      </c>
    </row>
    <row r="4" spans="1:30" x14ac:dyDescent="0.3">
      <c r="A4" s="79">
        <v>1</v>
      </c>
      <c r="B4" s="79">
        <v>1</v>
      </c>
      <c r="C4" s="119">
        <v>1.028</v>
      </c>
      <c r="D4" s="100">
        <f>VLOOKUP($C4,Лист5!$A$1:$B$104,2,)+15</f>
        <v>118.27</v>
      </c>
      <c r="E4" s="99"/>
      <c r="F4" s="99"/>
      <c r="G4" s="99">
        <f>SUM(D4:F4)</f>
        <v>118.27</v>
      </c>
      <c r="S4" s="106" t="s">
        <v>160</v>
      </c>
      <c r="T4" s="106" t="s">
        <v>155</v>
      </c>
      <c r="U4" s="107">
        <v>1469.99</v>
      </c>
      <c r="V4" s="106">
        <v>1225.93</v>
      </c>
      <c r="W4" s="107">
        <f>SUM(U4:V4)</f>
        <v>2695.92</v>
      </c>
      <c r="Y4" s="109">
        <v>1469.31</v>
      </c>
      <c r="Z4" s="109">
        <v>1224.44</v>
      </c>
      <c r="AA4" s="110">
        <f>SUM(Y4:Z4)</f>
        <v>2693.75</v>
      </c>
      <c r="AC4" s="101">
        <f>W4-AA4</f>
        <v>2.1700000000000728</v>
      </c>
    </row>
    <row r="5" spans="1:30" x14ac:dyDescent="0.3">
      <c r="A5" s="79">
        <v>2</v>
      </c>
      <c r="B5" s="79">
        <v>1</v>
      </c>
      <c r="C5" s="119">
        <v>1.0269999999999999</v>
      </c>
      <c r="D5" s="100">
        <f>VLOOKUP($C5,Лист5!$A$1:$B$104,2,)+15</f>
        <v>125.55</v>
      </c>
      <c r="E5" s="99"/>
      <c r="F5" s="99"/>
      <c r="G5" s="99">
        <f t="shared" ref="G5:G24" si="0">SUM(D5:F5)</f>
        <v>125.55</v>
      </c>
      <c r="S5" s="111"/>
      <c r="T5" s="111" t="s">
        <v>156</v>
      </c>
      <c r="U5" s="111" t="s">
        <v>163</v>
      </c>
      <c r="V5" s="111">
        <v>378.74</v>
      </c>
      <c r="W5" s="112">
        <f t="shared" ref="W5:W23" si="1">SUM(U5:V5)</f>
        <v>378.74</v>
      </c>
      <c r="X5" s="113"/>
      <c r="Y5" s="111" t="s">
        <v>163</v>
      </c>
      <c r="Z5" s="111">
        <v>348.14</v>
      </c>
      <c r="AA5" s="112">
        <f t="shared" ref="AA5:AA21" si="2">SUM(Y5:Z5)</f>
        <v>348.14</v>
      </c>
      <c r="AB5" s="113"/>
      <c r="AC5" s="114">
        <f t="shared" ref="AC5:AC21" si="3">W5-AA5</f>
        <v>30.600000000000023</v>
      </c>
      <c r="AD5" s="113"/>
    </row>
    <row r="6" spans="1:30" x14ac:dyDescent="0.3">
      <c r="A6" s="79">
        <v>3</v>
      </c>
      <c r="B6" s="79">
        <v>1</v>
      </c>
      <c r="C6" s="119">
        <v>1.026</v>
      </c>
      <c r="D6" s="100">
        <f>284.86+35</f>
        <v>319.86</v>
      </c>
      <c r="E6" s="99"/>
      <c r="F6" s="99"/>
      <c r="G6" s="99">
        <f t="shared" si="0"/>
        <v>319.86</v>
      </c>
      <c r="S6" s="106"/>
      <c r="T6" s="106" t="s">
        <v>157</v>
      </c>
      <c r="U6" s="106" t="s">
        <v>163</v>
      </c>
      <c r="V6" s="106" t="s">
        <v>163</v>
      </c>
      <c r="W6" s="107">
        <f t="shared" si="1"/>
        <v>0</v>
      </c>
      <c r="Y6" s="109">
        <v>57.81</v>
      </c>
      <c r="Z6" s="109">
        <v>5.85</v>
      </c>
      <c r="AA6" s="110">
        <f t="shared" si="2"/>
        <v>63.660000000000004</v>
      </c>
      <c r="AC6" s="101">
        <f t="shared" si="3"/>
        <v>-63.660000000000004</v>
      </c>
    </row>
    <row r="7" spans="1:30" x14ac:dyDescent="0.3">
      <c r="A7" s="135">
        <v>4</v>
      </c>
      <c r="B7" s="135">
        <v>1</v>
      </c>
      <c r="C7" s="136">
        <v>1.024</v>
      </c>
      <c r="D7" s="137">
        <f>53.84</f>
        <v>53.84</v>
      </c>
      <c r="E7" s="137"/>
      <c r="F7" s="137"/>
      <c r="G7" s="137">
        <f t="shared" si="0"/>
        <v>53.84</v>
      </c>
      <c r="S7" s="111"/>
      <c r="T7" s="111" t="s">
        <v>158</v>
      </c>
      <c r="U7" s="112">
        <v>13.59</v>
      </c>
      <c r="V7" s="111">
        <v>1.8</v>
      </c>
      <c r="W7" s="112">
        <f t="shared" si="1"/>
        <v>15.39</v>
      </c>
      <c r="X7" s="113"/>
      <c r="Y7" s="111" t="s">
        <v>163</v>
      </c>
      <c r="Z7" s="111" t="s">
        <v>163</v>
      </c>
      <c r="AA7" s="112">
        <f t="shared" si="2"/>
        <v>0</v>
      </c>
      <c r="AB7" s="113"/>
      <c r="AC7" s="114">
        <f t="shared" si="3"/>
        <v>15.39</v>
      </c>
      <c r="AD7" s="113"/>
    </row>
    <row r="8" spans="1:30" x14ac:dyDescent="0.3">
      <c r="A8" s="79">
        <v>5</v>
      </c>
      <c r="B8" s="79">
        <v>1</v>
      </c>
      <c r="C8" s="119">
        <v>1.0289999999999999</v>
      </c>
      <c r="D8" s="100">
        <f>VLOOKUP($C8,Лист5!$A$1:$B$104,2,)+10</f>
        <v>102.42</v>
      </c>
      <c r="E8" s="99"/>
      <c r="F8" s="99"/>
      <c r="G8" s="99">
        <f t="shared" si="0"/>
        <v>102.42</v>
      </c>
      <c r="S8" s="106"/>
      <c r="T8" s="106" t="s">
        <v>159</v>
      </c>
      <c r="U8" s="106">
        <v>2.4</v>
      </c>
      <c r="V8" s="106" t="s">
        <v>163</v>
      </c>
      <c r="W8" s="107">
        <f t="shared" si="1"/>
        <v>2.4</v>
      </c>
      <c r="Y8" s="109" t="s">
        <v>163</v>
      </c>
      <c r="Z8" s="109" t="s">
        <v>163</v>
      </c>
      <c r="AA8" s="110">
        <f t="shared" si="2"/>
        <v>0</v>
      </c>
      <c r="AC8" s="101">
        <f t="shared" si="3"/>
        <v>2.4</v>
      </c>
    </row>
    <row r="9" spans="1:30" x14ac:dyDescent="0.3">
      <c r="A9" s="79">
        <v>6</v>
      </c>
      <c r="B9" s="79">
        <v>1</v>
      </c>
      <c r="C9" s="119">
        <v>1.03</v>
      </c>
      <c r="D9" s="100">
        <f>VLOOKUP($C9,Лист5!$A$1:$B$104,2,)+7</f>
        <v>101.91</v>
      </c>
      <c r="E9" s="99"/>
      <c r="F9" s="99"/>
      <c r="G9" s="99">
        <f t="shared" si="0"/>
        <v>101.91</v>
      </c>
      <c r="S9" s="111"/>
      <c r="T9" s="111"/>
      <c r="U9" s="111"/>
      <c r="V9" s="111"/>
      <c r="W9" s="112"/>
      <c r="X9" s="113"/>
      <c r="Y9" s="111"/>
      <c r="Z9" s="111"/>
      <c r="AA9" s="112"/>
      <c r="AB9" s="113"/>
      <c r="AC9" s="114"/>
      <c r="AD9" s="113"/>
    </row>
    <row r="10" spans="1:30" x14ac:dyDescent="0.3">
      <c r="A10" s="79">
        <v>7</v>
      </c>
      <c r="B10" s="79">
        <v>1</v>
      </c>
      <c r="C10" s="119">
        <v>1.0309999999999999</v>
      </c>
      <c r="D10" s="100">
        <f>VLOOKUP($C10,Лист5!$A$1:$B$104,2,)+8</f>
        <v>98.2</v>
      </c>
      <c r="E10" s="99"/>
      <c r="F10" s="99"/>
      <c r="G10" s="99">
        <f t="shared" si="0"/>
        <v>98.2</v>
      </c>
      <c r="S10" s="106" t="s">
        <v>161</v>
      </c>
      <c r="T10" s="106" t="s">
        <v>155</v>
      </c>
      <c r="U10" s="106">
        <v>1537.74</v>
      </c>
      <c r="V10" s="106">
        <v>1995.77</v>
      </c>
      <c r="W10" s="107">
        <f t="shared" si="1"/>
        <v>3533.51</v>
      </c>
      <c r="Y10" s="109">
        <v>1537.34</v>
      </c>
      <c r="Z10" s="109">
        <v>1673.16</v>
      </c>
      <c r="AA10" s="110">
        <f t="shared" si="2"/>
        <v>3210.5</v>
      </c>
      <c r="AC10" s="101">
        <f t="shared" si="3"/>
        <v>323.01000000000022</v>
      </c>
    </row>
    <row r="11" spans="1:30" x14ac:dyDescent="0.3">
      <c r="A11" s="79">
        <v>8</v>
      </c>
      <c r="B11" s="79">
        <v>1</v>
      </c>
      <c r="C11" s="119">
        <v>1.032</v>
      </c>
      <c r="D11" s="100">
        <f>VLOOKUP($C11,Лист5!$A$1:$B$104,2,)+7</f>
        <v>94.76</v>
      </c>
      <c r="E11" s="99"/>
      <c r="F11" s="99"/>
      <c r="G11" s="99">
        <f t="shared" si="0"/>
        <v>94.76</v>
      </c>
      <c r="S11" s="111"/>
      <c r="T11" s="111" t="s">
        <v>156</v>
      </c>
      <c r="U11" s="111">
        <v>51.07</v>
      </c>
      <c r="V11" s="111">
        <v>409.01</v>
      </c>
      <c r="W11" s="112">
        <f t="shared" si="1"/>
        <v>460.08</v>
      </c>
      <c r="X11" s="113"/>
      <c r="Y11" s="111">
        <v>51.07</v>
      </c>
      <c r="Z11" s="111">
        <v>409.01</v>
      </c>
      <c r="AA11" s="112">
        <f t="shared" si="2"/>
        <v>460.08</v>
      </c>
      <c r="AB11" s="113"/>
      <c r="AC11" s="114">
        <f t="shared" si="3"/>
        <v>0</v>
      </c>
      <c r="AD11" s="113"/>
    </row>
    <row r="12" spans="1:30" x14ac:dyDescent="0.3">
      <c r="A12" s="79">
        <v>9</v>
      </c>
      <c r="B12" s="79">
        <v>1</v>
      </c>
      <c r="C12" s="119">
        <v>1.0329999999999999</v>
      </c>
      <c r="D12" s="100">
        <f>VLOOKUP($C12,Лист5!$A$1:$B$104,2,)+10</f>
        <v>152.44</v>
      </c>
      <c r="E12" s="99"/>
      <c r="F12" s="99"/>
      <c r="G12" s="99">
        <f t="shared" si="0"/>
        <v>152.44</v>
      </c>
      <c r="S12" s="106"/>
      <c r="T12" s="106" t="s">
        <v>157</v>
      </c>
      <c r="U12" s="106" t="s">
        <v>163</v>
      </c>
      <c r="V12" s="106" t="s">
        <v>163</v>
      </c>
      <c r="W12" s="107">
        <f t="shared" si="1"/>
        <v>0</v>
      </c>
      <c r="Y12" s="109">
        <v>60.14</v>
      </c>
      <c r="Z12" s="109">
        <v>338.43</v>
      </c>
      <c r="AA12" s="110">
        <f t="shared" si="2"/>
        <v>398.57</v>
      </c>
      <c r="AC12" s="101">
        <f t="shared" si="3"/>
        <v>-398.57</v>
      </c>
    </row>
    <row r="13" spans="1:30" x14ac:dyDescent="0.3">
      <c r="A13" s="79">
        <v>10</v>
      </c>
      <c r="B13" s="79">
        <v>1</v>
      </c>
      <c r="C13" s="119">
        <v>1.0389999999999999</v>
      </c>
      <c r="D13" s="100">
        <f>VLOOKUP($C13,Лист5!$A$1:$B$104,2,)+15</f>
        <v>181.2</v>
      </c>
      <c r="E13" s="99"/>
      <c r="F13" s="99"/>
      <c r="G13" s="99">
        <f t="shared" si="0"/>
        <v>181.2</v>
      </c>
      <c r="S13" s="111"/>
      <c r="T13" s="111" t="s">
        <v>158</v>
      </c>
      <c r="U13" s="111">
        <v>16.09</v>
      </c>
      <c r="V13" s="111" t="s">
        <v>163</v>
      </c>
      <c r="W13" s="112">
        <f t="shared" si="1"/>
        <v>16.09</v>
      </c>
      <c r="X13" s="113"/>
      <c r="Y13" s="111" t="s">
        <v>163</v>
      </c>
      <c r="Z13" s="111" t="s">
        <v>163</v>
      </c>
      <c r="AA13" s="112">
        <f t="shared" si="2"/>
        <v>0</v>
      </c>
      <c r="AB13" s="113"/>
      <c r="AC13" s="114">
        <f t="shared" si="3"/>
        <v>16.09</v>
      </c>
      <c r="AD13" s="113"/>
    </row>
    <row r="14" spans="1:30" x14ac:dyDescent="0.3">
      <c r="A14" s="79">
        <v>11</v>
      </c>
      <c r="B14" s="79">
        <v>4.0999999999999996</v>
      </c>
      <c r="C14" s="119">
        <v>1.04</v>
      </c>
      <c r="D14" s="100">
        <f>164+32.45+20</f>
        <v>216.45</v>
      </c>
      <c r="E14" s="99"/>
      <c r="F14" s="99"/>
      <c r="G14" s="99">
        <f t="shared" si="0"/>
        <v>216.45</v>
      </c>
      <c r="S14" s="106"/>
      <c r="T14" s="106" t="s">
        <v>159</v>
      </c>
      <c r="U14" s="106">
        <v>2.4</v>
      </c>
      <c r="V14" s="106" t="s">
        <v>163</v>
      </c>
      <c r="W14" s="107">
        <f t="shared" si="1"/>
        <v>2.4</v>
      </c>
      <c r="Y14" s="109" t="s">
        <v>163</v>
      </c>
      <c r="Z14" s="109" t="s">
        <v>163</v>
      </c>
      <c r="AA14" s="110">
        <f t="shared" si="2"/>
        <v>0</v>
      </c>
      <c r="AC14" s="101">
        <f t="shared" si="3"/>
        <v>2.4</v>
      </c>
    </row>
    <row r="15" spans="1:30" x14ac:dyDescent="0.3">
      <c r="A15" s="79">
        <v>12</v>
      </c>
      <c r="B15" s="79">
        <v>4.0999999999999996</v>
      </c>
      <c r="C15" s="119">
        <v>1.0429999999999999</v>
      </c>
      <c r="D15" s="100">
        <f>18+83.8</f>
        <v>101.8</v>
      </c>
      <c r="E15" s="99"/>
      <c r="F15" s="99"/>
      <c r="G15" s="99">
        <f t="shared" si="0"/>
        <v>101.8</v>
      </c>
      <c r="S15" s="111"/>
      <c r="T15" s="111"/>
      <c r="U15" s="111"/>
      <c r="V15" s="111"/>
      <c r="W15" s="112"/>
      <c r="X15" s="113"/>
      <c r="Y15" s="111"/>
      <c r="Z15" s="111"/>
      <c r="AA15" s="112"/>
      <c r="AB15" s="113"/>
      <c r="AC15" s="114"/>
      <c r="AD15" s="113"/>
    </row>
    <row r="16" spans="1:30" x14ac:dyDescent="0.3">
      <c r="A16" s="79">
        <v>13</v>
      </c>
      <c r="B16" s="79">
        <v>4.0999999999999996</v>
      </c>
      <c r="C16" s="119">
        <v>1.044</v>
      </c>
      <c r="D16" s="100">
        <v>67.3</v>
      </c>
      <c r="E16" s="99"/>
      <c r="F16" s="99"/>
      <c r="G16" s="99">
        <f t="shared" si="0"/>
        <v>67.3</v>
      </c>
      <c r="S16" s="111" t="s">
        <v>162</v>
      </c>
      <c r="T16" s="111" t="s">
        <v>155</v>
      </c>
      <c r="U16" s="111">
        <v>1765.15</v>
      </c>
      <c r="V16" s="111">
        <v>642.66</v>
      </c>
      <c r="W16" s="112">
        <f t="shared" si="1"/>
        <v>2407.81</v>
      </c>
      <c r="X16" s="113"/>
      <c r="Y16" s="111">
        <v>1762.76</v>
      </c>
      <c r="Z16" s="111">
        <v>642.66</v>
      </c>
      <c r="AA16" s="112">
        <f t="shared" si="2"/>
        <v>2405.42</v>
      </c>
      <c r="AB16" s="113"/>
      <c r="AC16" s="114">
        <f t="shared" si="3"/>
        <v>2.3899999999998727</v>
      </c>
      <c r="AD16" s="113"/>
    </row>
    <row r="17" spans="1:30" x14ac:dyDescent="0.3">
      <c r="A17" s="79">
        <v>14</v>
      </c>
      <c r="B17" s="79">
        <v>4.0999999999999996</v>
      </c>
      <c r="C17" s="119">
        <v>1.046</v>
      </c>
      <c r="D17" s="100">
        <f>185.78+30</f>
        <v>215.78</v>
      </c>
      <c r="E17" s="99"/>
      <c r="F17" s="99"/>
      <c r="G17" s="99">
        <f t="shared" si="0"/>
        <v>215.78</v>
      </c>
      <c r="J17" s="106" t="s">
        <v>160</v>
      </c>
      <c r="K17" s="106" t="s">
        <v>155</v>
      </c>
      <c r="L17" s="107">
        <v>1469.99</v>
      </c>
      <c r="M17" s="106">
        <v>1225.93</v>
      </c>
      <c r="N17" s="107">
        <f>SUM(L17:M17)</f>
        <v>2695.92</v>
      </c>
      <c r="S17" s="106"/>
      <c r="T17" s="106" t="s">
        <v>165</v>
      </c>
      <c r="U17" s="106"/>
      <c r="V17" s="106">
        <v>182.74</v>
      </c>
      <c r="W17" s="107">
        <f t="shared" si="1"/>
        <v>182.74</v>
      </c>
      <c r="Y17" s="109"/>
      <c r="Z17" s="109">
        <v>182.74</v>
      </c>
      <c r="AA17" s="110">
        <f t="shared" si="2"/>
        <v>182.74</v>
      </c>
      <c r="AC17" s="101">
        <f t="shared" si="3"/>
        <v>0</v>
      </c>
    </row>
    <row r="18" spans="1:30" x14ac:dyDescent="0.3">
      <c r="A18" s="79">
        <v>15</v>
      </c>
      <c r="B18" s="79">
        <v>4.0999999999999996</v>
      </c>
      <c r="C18" s="119">
        <v>1.0449999999999999</v>
      </c>
      <c r="D18" s="100">
        <f>372.12-D17+20</f>
        <v>176.34</v>
      </c>
      <c r="E18" s="99"/>
      <c r="F18" s="99"/>
      <c r="G18" s="99">
        <f t="shared" si="0"/>
        <v>176.34</v>
      </c>
      <c r="J18" s="111"/>
      <c r="K18" s="111" t="s">
        <v>156</v>
      </c>
      <c r="L18" s="111" t="s">
        <v>163</v>
      </c>
      <c r="M18" s="111">
        <v>378.74</v>
      </c>
      <c r="N18" s="112">
        <f t="shared" ref="N18:N21" si="4">SUM(L18:M18)</f>
        <v>378.74</v>
      </c>
      <c r="S18" s="111"/>
      <c r="T18" s="111" t="s">
        <v>156</v>
      </c>
      <c r="U18" s="111">
        <v>49.99</v>
      </c>
      <c r="V18" s="111">
        <v>189.76</v>
      </c>
      <c r="W18" s="112">
        <f t="shared" si="1"/>
        <v>239.75</v>
      </c>
      <c r="X18" s="113"/>
      <c r="Y18" s="111">
        <v>51.07</v>
      </c>
      <c r="Z18" s="111">
        <v>193.9</v>
      </c>
      <c r="AA18" s="112">
        <f t="shared" si="2"/>
        <v>244.97</v>
      </c>
      <c r="AB18" s="113"/>
      <c r="AC18" s="114">
        <f t="shared" si="3"/>
        <v>-5.2199999999999989</v>
      </c>
      <c r="AD18" s="113"/>
    </row>
    <row r="19" spans="1:30" x14ac:dyDescent="0.3">
      <c r="A19" s="79">
        <v>16</v>
      </c>
      <c r="B19" s="79">
        <v>4.0999999999999996</v>
      </c>
      <c r="C19" s="119">
        <v>1.0489999999999999</v>
      </c>
      <c r="D19" s="100">
        <f>VLOOKUP($C19,Лист5!$A$1:$B$104,2,)+15</f>
        <v>167.54</v>
      </c>
      <c r="E19" s="99"/>
      <c r="F19" s="99"/>
      <c r="G19" s="99">
        <f t="shared" si="0"/>
        <v>167.54</v>
      </c>
      <c r="J19" s="106"/>
      <c r="K19" s="106" t="s">
        <v>157</v>
      </c>
      <c r="L19" s="106" t="s">
        <v>163</v>
      </c>
      <c r="M19" s="106" t="s">
        <v>163</v>
      </c>
      <c r="N19" s="107">
        <f t="shared" si="4"/>
        <v>0</v>
      </c>
      <c r="S19" s="106"/>
      <c r="T19" s="106" t="s">
        <v>157</v>
      </c>
      <c r="U19" s="106" t="s">
        <v>163</v>
      </c>
      <c r="V19" s="106" t="s">
        <v>163</v>
      </c>
      <c r="W19" s="107">
        <f t="shared" si="1"/>
        <v>0</v>
      </c>
      <c r="Y19" s="109">
        <v>60.25</v>
      </c>
      <c r="Z19" s="109" t="s">
        <v>163</v>
      </c>
      <c r="AA19" s="110">
        <f t="shared" si="2"/>
        <v>60.25</v>
      </c>
      <c r="AC19" s="101">
        <f t="shared" si="3"/>
        <v>-60.25</v>
      </c>
    </row>
    <row r="20" spans="1:30" x14ac:dyDescent="0.3">
      <c r="A20" s="79">
        <v>17</v>
      </c>
      <c r="B20" s="79">
        <v>4.0999999999999996</v>
      </c>
      <c r="C20" s="119">
        <v>1.05</v>
      </c>
      <c r="D20" s="100">
        <f>VLOOKUP($C20,Лист5!$A$1:$B$104,2,)+3</f>
        <v>88.4</v>
      </c>
      <c r="E20" s="99"/>
      <c r="F20" s="99"/>
      <c r="G20" s="99">
        <f t="shared" si="0"/>
        <v>88.4</v>
      </c>
      <c r="J20" s="111"/>
      <c r="K20" s="111" t="s">
        <v>158</v>
      </c>
      <c r="L20" s="112">
        <v>13.59</v>
      </c>
      <c r="M20" s="111">
        <v>1.8</v>
      </c>
      <c r="N20" s="112">
        <f t="shared" si="4"/>
        <v>15.39</v>
      </c>
      <c r="S20" s="111"/>
      <c r="T20" s="111" t="s">
        <v>158</v>
      </c>
      <c r="U20" s="111">
        <v>17.940000000000001</v>
      </c>
      <c r="V20" s="111"/>
      <c r="W20" s="112">
        <f t="shared" si="1"/>
        <v>17.940000000000001</v>
      </c>
      <c r="X20" s="113"/>
      <c r="Y20" s="111" t="s">
        <v>163</v>
      </c>
      <c r="Z20" s="111" t="s">
        <v>163</v>
      </c>
      <c r="AA20" s="112">
        <f t="shared" si="2"/>
        <v>0</v>
      </c>
      <c r="AB20" s="113"/>
      <c r="AC20" s="114">
        <f t="shared" si="3"/>
        <v>17.940000000000001</v>
      </c>
      <c r="AD20" s="113"/>
    </row>
    <row r="21" spans="1:30" x14ac:dyDescent="0.3">
      <c r="A21" s="79">
        <v>18</v>
      </c>
      <c r="B21" s="79">
        <v>4.0999999999999996</v>
      </c>
      <c r="C21" s="119">
        <v>1.0509999999999999</v>
      </c>
      <c r="D21" s="100">
        <f>VLOOKUP($C21,Лист5!$A$1:$B$104,2,)+3</f>
        <v>91.85</v>
      </c>
      <c r="E21" s="99"/>
      <c r="F21" s="99"/>
      <c r="G21" s="99">
        <f t="shared" si="0"/>
        <v>91.85</v>
      </c>
      <c r="J21" s="106"/>
      <c r="K21" s="106" t="s">
        <v>159</v>
      </c>
      <c r="L21" s="106">
        <v>2.4</v>
      </c>
      <c r="M21" s="106" t="s">
        <v>163</v>
      </c>
      <c r="N21" s="107">
        <f t="shared" si="4"/>
        <v>2.4</v>
      </c>
      <c r="S21" s="106"/>
      <c r="T21" s="106" t="s">
        <v>159</v>
      </c>
      <c r="U21" s="106">
        <v>3.6</v>
      </c>
      <c r="V21" s="106"/>
      <c r="W21" s="107">
        <f t="shared" si="1"/>
        <v>3.6</v>
      </c>
      <c r="Y21" s="109" t="s">
        <v>163</v>
      </c>
      <c r="Z21" s="109" t="s">
        <v>163</v>
      </c>
      <c r="AA21" s="110">
        <f t="shared" si="2"/>
        <v>0</v>
      </c>
      <c r="AC21" s="101">
        <f t="shared" si="3"/>
        <v>3.6</v>
      </c>
    </row>
    <row r="22" spans="1:30" x14ac:dyDescent="0.3">
      <c r="A22" s="79">
        <v>19</v>
      </c>
      <c r="B22" s="79">
        <v>4.0999999999999996</v>
      </c>
      <c r="C22" s="119">
        <v>1.048</v>
      </c>
      <c r="D22" s="99"/>
      <c r="E22" s="100">
        <f>VLOOKUP($C22,Лист5!$A$1:$B$104,2,)</f>
        <v>75.8</v>
      </c>
      <c r="F22" s="99"/>
      <c r="G22" s="99">
        <f t="shared" si="0"/>
        <v>75.8</v>
      </c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</row>
    <row r="23" spans="1:30" x14ac:dyDescent="0.3">
      <c r="A23" s="79">
        <v>20</v>
      </c>
      <c r="B23" s="79">
        <v>4.0999999999999996</v>
      </c>
      <c r="C23" s="119">
        <v>1.0529999999999999</v>
      </c>
      <c r="D23" s="99"/>
      <c r="E23" s="100">
        <v>254.19</v>
      </c>
      <c r="F23" s="99"/>
      <c r="G23" s="99">
        <f t="shared" si="0"/>
        <v>254.19</v>
      </c>
      <c r="S23" s="105"/>
      <c r="T23" s="106" t="s">
        <v>164</v>
      </c>
      <c r="U23" s="107">
        <f>SUM(U4:U21)</f>
        <v>4929.96</v>
      </c>
      <c r="V23" s="107">
        <f>SUM(V4:V21)</f>
        <v>5026.41</v>
      </c>
      <c r="W23" s="107">
        <f t="shared" si="1"/>
        <v>9956.369999999999</v>
      </c>
      <c r="Y23" s="110">
        <f>SUM(Y4:Y21)</f>
        <v>5049.75</v>
      </c>
      <c r="Z23" s="110">
        <f>SUM(Z4:Z21)</f>
        <v>5018.33</v>
      </c>
      <c r="AA23" s="110">
        <f t="shared" ref="AA23" si="5">SUM(Y23:Z23)</f>
        <v>10068.08</v>
      </c>
      <c r="AC23" s="101">
        <f>W23-AA23</f>
        <v>-111.71000000000095</v>
      </c>
    </row>
    <row r="24" spans="1:30" x14ac:dyDescent="0.3">
      <c r="A24" s="79">
        <v>21</v>
      </c>
      <c r="B24" s="79">
        <v>4.0999999999999996</v>
      </c>
      <c r="C24" s="119">
        <v>1.054</v>
      </c>
      <c r="D24" s="99"/>
      <c r="E24" s="100">
        <f>26+8+8.48</f>
        <v>42.480000000000004</v>
      </c>
      <c r="F24" s="99"/>
      <c r="G24" s="99">
        <f t="shared" si="0"/>
        <v>42.480000000000004</v>
      </c>
    </row>
    <row r="25" spans="1:30" x14ac:dyDescent="0.3">
      <c r="A25" s="79"/>
      <c r="B25" s="79"/>
      <c r="C25" s="79" t="s">
        <v>19</v>
      </c>
      <c r="D25" s="99">
        <f>SUM(D4:D24)</f>
        <v>2473.91</v>
      </c>
      <c r="E25" s="99">
        <f>SUM(E4:E24)</f>
        <v>372.47</v>
      </c>
      <c r="F25" s="99">
        <f t="shared" ref="F25:G25" si="6">SUM(F4:F24)</f>
        <v>0</v>
      </c>
      <c r="G25" s="99">
        <f t="shared" si="6"/>
        <v>2846.38</v>
      </c>
    </row>
    <row r="28" spans="1:30" x14ac:dyDescent="0.3">
      <c r="B28" s="93" t="s">
        <v>153</v>
      </c>
      <c r="C28" s="130"/>
      <c r="D28" s="95" t="s">
        <v>149</v>
      </c>
      <c r="E28" s="96" t="s">
        <v>151</v>
      </c>
      <c r="F28" s="96" t="s">
        <v>152</v>
      </c>
      <c r="J28" s="132" t="s">
        <v>153</v>
      </c>
      <c r="K28" s="130"/>
      <c r="L28" s="95" t="s">
        <v>149</v>
      </c>
      <c r="M28" s="96" t="s">
        <v>151</v>
      </c>
      <c r="N28" s="96" t="s">
        <v>152</v>
      </c>
    </row>
    <row r="29" spans="1:30" x14ac:dyDescent="0.3">
      <c r="B29" s="130">
        <v>1</v>
      </c>
      <c r="C29" s="130"/>
      <c r="D29" s="131">
        <f>SUM(D4:D13)</f>
        <v>1348.45</v>
      </c>
      <c r="E29" s="131">
        <v>0</v>
      </c>
      <c r="F29" s="131">
        <f>F22</f>
        <v>0</v>
      </c>
      <c r="J29" s="130">
        <v>1</v>
      </c>
      <c r="K29" s="130"/>
      <c r="L29" s="131">
        <f>L17</f>
        <v>1469.99</v>
      </c>
      <c r="M29" s="131" t="str">
        <f>L18</f>
        <v>-</v>
      </c>
      <c r="N29" s="131">
        <f>N22</f>
        <v>0</v>
      </c>
      <c r="P29" s="101">
        <f>L29-D29</f>
        <v>121.53999999999996</v>
      </c>
      <c r="Q29" s="101" t="e">
        <f>M29-E29</f>
        <v>#VALUE!</v>
      </c>
    </row>
    <row r="30" spans="1:30" x14ac:dyDescent="0.3">
      <c r="B30" s="130">
        <v>4.0999999999999996</v>
      </c>
      <c r="C30" s="130"/>
      <c r="D30" s="131">
        <f>SUM(D14:D21)</f>
        <v>1125.46</v>
      </c>
      <c r="E30" s="131">
        <f>SUM(E22:E24)</f>
        <v>372.47</v>
      </c>
      <c r="F30" s="131">
        <f>SUM(F23:F25)</f>
        <v>0</v>
      </c>
      <c r="J30" s="130">
        <v>4.0999999999999996</v>
      </c>
      <c r="K30" s="130"/>
      <c r="L30" s="131">
        <f>M17</f>
        <v>1225.93</v>
      </c>
      <c r="M30" s="131">
        <f>M18</f>
        <v>378.74</v>
      </c>
      <c r="N30" s="131">
        <f>SUM(N23:N25)</f>
        <v>0</v>
      </c>
      <c r="P30" s="101">
        <f>L30-D30</f>
        <v>100.47000000000003</v>
      </c>
      <c r="Q30" s="101">
        <f>M30-E30</f>
        <v>6.2699999999999818</v>
      </c>
    </row>
    <row r="32" spans="1:30" x14ac:dyDescent="0.3">
      <c r="A32" s="329" t="s">
        <v>2</v>
      </c>
      <c r="B32" s="329"/>
      <c r="C32" s="329"/>
      <c r="D32" s="329"/>
      <c r="E32" s="329"/>
      <c r="F32" s="329"/>
      <c r="G32" s="329"/>
    </row>
    <row r="33" spans="1:7" x14ac:dyDescent="0.3">
      <c r="A33" s="79"/>
      <c r="B33" s="79"/>
      <c r="C33" s="94"/>
      <c r="D33" s="95" t="s">
        <v>149</v>
      </c>
      <c r="E33" s="96" t="s">
        <v>151</v>
      </c>
      <c r="F33" s="96" t="s">
        <v>152</v>
      </c>
      <c r="G33" s="80" t="s">
        <v>3</v>
      </c>
    </row>
    <row r="34" spans="1:7" x14ac:dyDescent="0.3">
      <c r="A34" s="79" t="s">
        <v>0</v>
      </c>
      <c r="B34" s="79" t="s">
        <v>153</v>
      </c>
      <c r="C34" s="97" t="s">
        <v>5</v>
      </c>
      <c r="D34" s="98" t="s">
        <v>4</v>
      </c>
      <c r="E34" s="98" t="s">
        <v>4</v>
      </c>
      <c r="F34" s="98" t="s">
        <v>4</v>
      </c>
      <c r="G34" s="99" t="s">
        <v>4</v>
      </c>
    </row>
    <row r="35" spans="1:7" x14ac:dyDescent="0.3">
      <c r="A35" s="79">
        <v>1</v>
      </c>
      <c r="B35" s="102">
        <v>1</v>
      </c>
      <c r="C35" s="104">
        <v>2.0009999999999999</v>
      </c>
      <c r="D35" s="100">
        <f>VLOOKUP($C35,Лист5!$A$1:$B$104,2,)</f>
        <v>118.17750000000001</v>
      </c>
      <c r="E35" s="103"/>
      <c r="F35" s="103"/>
      <c r="G35" s="99">
        <f>SUM(D35:F35)</f>
        <v>118.17750000000001</v>
      </c>
    </row>
    <row r="36" spans="1:7" x14ac:dyDescent="0.3">
      <c r="A36" s="79">
        <v>2</v>
      </c>
      <c r="B36" s="102">
        <v>1</v>
      </c>
      <c r="C36" s="104">
        <v>2.0019999999999998</v>
      </c>
      <c r="D36" s="100">
        <f>VLOOKUP($C36,Лист5!$A$1:$B$104,2,)</f>
        <v>113.73599999999999</v>
      </c>
      <c r="E36" s="103"/>
      <c r="F36" s="103"/>
      <c r="G36" s="99">
        <f t="shared" ref="G36:G57" si="7">SUM(D36:F36)</f>
        <v>113.73599999999999</v>
      </c>
    </row>
    <row r="37" spans="1:7" x14ac:dyDescent="0.3">
      <c r="A37" s="79">
        <v>3</v>
      </c>
      <c r="B37" s="102">
        <v>1</v>
      </c>
      <c r="C37" s="104">
        <v>2.0030000000000001</v>
      </c>
      <c r="D37" s="100">
        <f>VLOOKUP($C37,Лист5!$A$1:$B$104,2,)</f>
        <v>122.50349999999997</v>
      </c>
      <c r="E37" s="103"/>
      <c r="F37" s="103"/>
      <c r="G37" s="99">
        <f t="shared" si="7"/>
        <v>122.50349999999997</v>
      </c>
    </row>
    <row r="38" spans="1:7" x14ac:dyDescent="0.3">
      <c r="A38" s="79">
        <v>4</v>
      </c>
      <c r="B38" s="102">
        <v>1</v>
      </c>
      <c r="C38" s="104">
        <v>2.004</v>
      </c>
      <c r="D38" s="100">
        <f>VLOOKUP($C38,Лист5!$A$1:$B$104,2,)</f>
        <v>314.601</v>
      </c>
      <c r="E38" s="103"/>
      <c r="F38" s="103"/>
      <c r="G38" s="99">
        <f t="shared" si="7"/>
        <v>314.601</v>
      </c>
    </row>
    <row r="39" spans="1:7" x14ac:dyDescent="0.3">
      <c r="A39" s="79">
        <v>5</v>
      </c>
      <c r="B39" s="102">
        <v>1</v>
      </c>
      <c r="C39" s="104">
        <v>2.0070000000000001</v>
      </c>
      <c r="D39" s="100">
        <f>VLOOKUP($C39,Лист5!$A$1:$B$104,2,)</f>
        <v>106.77449999999999</v>
      </c>
      <c r="E39" s="103"/>
      <c r="F39" s="103"/>
      <c r="G39" s="99">
        <f t="shared" si="7"/>
        <v>106.77449999999999</v>
      </c>
    </row>
    <row r="40" spans="1:7" x14ac:dyDescent="0.3">
      <c r="A40" s="79">
        <v>6</v>
      </c>
      <c r="B40" s="102">
        <v>1</v>
      </c>
      <c r="C40" s="104">
        <v>2.008</v>
      </c>
      <c r="D40" s="100">
        <f>VLOOKUP($C40,Лист5!$A$1:$B$104,2,)</f>
        <v>111.50999999999999</v>
      </c>
      <c r="E40" s="103"/>
      <c r="F40" s="103"/>
      <c r="G40" s="99">
        <f t="shared" si="7"/>
        <v>111.50999999999999</v>
      </c>
    </row>
    <row r="41" spans="1:7" x14ac:dyDescent="0.3">
      <c r="A41" s="79">
        <v>7</v>
      </c>
      <c r="B41" s="102">
        <v>1</v>
      </c>
      <c r="C41" s="104">
        <v>2.0089999999999999</v>
      </c>
      <c r="D41" s="100">
        <f>VLOOKUP($C41,Лист5!$A$1:$B$104,2,)</f>
        <v>106.77449999999999</v>
      </c>
      <c r="E41" s="103"/>
      <c r="F41" s="103"/>
      <c r="G41" s="99">
        <f t="shared" si="7"/>
        <v>106.77449999999999</v>
      </c>
    </row>
    <row r="42" spans="1:7" x14ac:dyDescent="0.3">
      <c r="A42" s="79">
        <v>8</v>
      </c>
      <c r="B42" s="102">
        <v>1</v>
      </c>
      <c r="C42" s="115">
        <v>2.0099999999999998</v>
      </c>
      <c r="D42" s="100">
        <f>VLOOKUP($C42,Лист5!$A$1:$B$104,2,)</f>
        <v>93.03</v>
      </c>
      <c r="E42" s="103"/>
      <c r="F42" s="103"/>
      <c r="G42" s="99">
        <f t="shared" si="7"/>
        <v>93.03</v>
      </c>
    </row>
    <row r="43" spans="1:7" x14ac:dyDescent="0.3">
      <c r="A43" s="79">
        <v>9</v>
      </c>
      <c r="B43" s="102">
        <v>1</v>
      </c>
      <c r="C43" s="104">
        <v>2.0110000000000001</v>
      </c>
      <c r="D43" s="100">
        <f>VLOOKUP($C43,Лист5!$A$1:$B$104,2,)</f>
        <v>106.63800000000001</v>
      </c>
      <c r="E43" s="103"/>
      <c r="F43" s="103"/>
      <c r="G43" s="99">
        <f t="shared" si="7"/>
        <v>106.63800000000001</v>
      </c>
    </row>
    <row r="44" spans="1:7" x14ac:dyDescent="0.3">
      <c r="A44" s="79">
        <v>10</v>
      </c>
      <c r="B44" s="102">
        <v>1</v>
      </c>
      <c r="C44" s="104">
        <v>2.012</v>
      </c>
      <c r="D44" s="100">
        <f>VLOOKUP($C44,Лист5!$A$1:$B$104,2,)</f>
        <v>234.72750000000002</v>
      </c>
      <c r="E44" s="103"/>
      <c r="F44" s="103"/>
      <c r="G44" s="99">
        <f t="shared" si="7"/>
        <v>234.72750000000002</v>
      </c>
    </row>
    <row r="45" spans="1:7" x14ac:dyDescent="0.3">
      <c r="A45" s="79">
        <v>11</v>
      </c>
      <c r="B45" s="102">
        <v>1</v>
      </c>
      <c r="C45" s="104">
        <v>2.0129999999999999</v>
      </c>
      <c r="D45" s="100">
        <f>VLOOKUP($C45,Лист5!$A$1:$B$104,2,)</f>
        <v>83.201999999999998</v>
      </c>
      <c r="E45" s="103"/>
      <c r="F45" s="103"/>
      <c r="G45" s="99">
        <f t="shared" si="7"/>
        <v>83.201999999999998</v>
      </c>
    </row>
    <row r="46" spans="1:7" x14ac:dyDescent="0.3">
      <c r="A46" s="79">
        <v>12</v>
      </c>
      <c r="B46" s="102">
        <v>4.0999999999999996</v>
      </c>
      <c r="C46" s="104">
        <v>2.0750000000000002</v>
      </c>
      <c r="D46" s="100">
        <f>VLOOKUP($C46,Лист5!$A$1:$B$104,2,)+19</f>
        <v>303.05650000000003</v>
      </c>
      <c r="E46" s="103"/>
      <c r="F46" s="103"/>
      <c r="G46" s="99">
        <f t="shared" si="7"/>
        <v>303.05650000000003</v>
      </c>
    </row>
    <row r="47" spans="1:7" x14ac:dyDescent="0.3">
      <c r="A47" s="79">
        <v>13</v>
      </c>
      <c r="B47" s="102">
        <v>4.0999999999999996</v>
      </c>
      <c r="C47" s="115">
        <v>2.08</v>
      </c>
      <c r="D47" s="100">
        <f>447.447/2+20</f>
        <v>243.7235</v>
      </c>
      <c r="E47" s="103"/>
      <c r="F47" s="103"/>
      <c r="G47" s="99">
        <f t="shared" si="7"/>
        <v>243.7235</v>
      </c>
    </row>
    <row r="48" spans="1:7" x14ac:dyDescent="0.3">
      <c r="A48" s="79">
        <v>14</v>
      </c>
      <c r="B48" s="102">
        <v>4.0999999999999996</v>
      </c>
      <c r="C48" s="104">
        <v>2.081</v>
      </c>
      <c r="D48" s="100">
        <f>VLOOKUP($C48,Лист5!$A$1:$B$104,2,)+210</f>
        <v>637.24</v>
      </c>
      <c r="E48" s="103"/>
      <c r="F48" s="103"/>
      <c r="G48" s="99">
        <f t="shared" si="7"/>
        <v>637.24</v>
      </c>
    </row>
    <row r="49" spans="1:20" x14ac:dyDescent="0.3">
      <c r="A49" s="79">
        <v>15</v>
      </c>
      <c r="B49" s="102">
        <v>4.0999999999999996</v>
      </c>
      <c r="C49" s="104">
        <v>2.0819999999999999</v>
      </c>
      <c r="D49" s="100">
        <f>447.447/2-30</f>
        <v>193.7235</v>
      </c>
      <c r="E49" s="103"/>
      <c r="F49" s="103"/>
      <c r="G49" s="99">
        <f t="shared" si="7"/>
        <v>193.7235</v>
      </c>
      <c r="J49" s="106" t="s">
        <v>161</v>
      </c>
      <c r="K49" s="106" t="s">
        <v>155</v>
      </c>
      <c r="L49" s="106">
        <v>1537.74</v>
      </c>
      <c r="M49" s="106">
        <v>1995.77</v>
      </c>
      <c r="N49" s="107">
        <f>SUM(L49:M49)</f>
        <v>3533.51</v>
      </c>
      <c r="P49" s="109">
        <v>1537.34</v>
      </c>
      <c r="Q49" s="109">
        <v>1673.16</v>
      </c>
      <c r="R49" s="110">
        <f t="shared" ref="R49:R53" si="8">SUM(P49:Q49)</f>
        <v>3210.5</v>
      </c>
      <c r="T49" s="101">
        <f>N49-R49</f>
        <v>323.01000000000022</v>
      </c>
    </row>
    <row r="50" spans="1:20" x14ac:dyDescent="0.3">
      <c r="A50" s="79">
        <v>16</v>
      </c>
      <c r="B50" s="102">
        <v>4.0999999999999996</v>
      </c>
      <c r="C50" s="104">
        <v>2.085</v>
      </c>
      <c r="D50" s="100">
        <f>VLOOKUP($C50,Лист5!$A$1:$B$104,2,)+160</f>
        <v>479.92</v>
      </c>
      <c r="E50" s="103"/>
      <c r="F50" s="103"/>
      <c r="G50" s="99">
        <f t="shared" si="7"/>
        <v>479.92</v>
      </c>
      <c r="J50" s="111"/>
      <c r="K50" s="111" t="s">
        <v>156</v>
      </c>
      <c r="L50" s="111">
        <v>51.07</v>
      </c>
      <c r="M50" s="111">
        <v>409.01</v>
      </c>
      <c r="N50" s="112">
        <f>SUM(L50:M50)</f>
        <v>460.08</v>
      </c>
      <c r="O50" s="113"/>
      <c r="P50" s="111">
        <v>51.07</v>
      </c>
      <c r="Q50" s="111">
        <v>409.01</v>
      </c>
      <c r="R50" s="112">
        <f t="shared" si="8"/>
        <v>460.08</v>
      </c>
      <c r="S50" s="113"/>
      <c r="T50" s="114">
        <f>N50-R50</f>
        <v>0</v>
      </c>
    </row>
    <row r="51" spans="1:20" x14ac:dyDescent="0.3">
      <c r="A51" s="79">
        <v>17</v>
      </c>
      <c r="B51" s="102">
        <v>4.0999999999999996</v>
      </c>
      <c r="C51" s="104">
        <v>2.0880000000000001</v>
      </c>
      <c r="D51" s="100">
        <f>VLOOKUP($C51,Лист5!$A$1:$B$104,2,)+8</f>
        <v>61.171999999999997</v>
      </c>
      <c r="E51" s="103"/>
      <c r="F51" s="103"/>
      <c r="G51" s="99">
        <f t="shared" si="7"/>
        <v>61.171999999999997</v>
      </c>
      <c r="J51" s="106"/>
      <c r="K51" s="106" t="s">
        <v>157</v>
      </c>
      <c r="L51" s="106" t="s">
        <v>163</v>
      </c>
      <c r="M51" s="106" t="s">
        <v>163</v>
      </c>
      <c r="N51" s="107">
        <f>SUM(L51:M51)</f>
        <v>0</v>
      </c>
      <c r="P51" s="109">
        <v>60.14</v>
      </c>
      <c r="Q51" s="109">
        <v>338.43</v>
      </c>
      <c r="R51" s="110">
        <f t="shared" si="8"/>
        <v>398.57</v>
      </c>
      <c r="T51" s="101">
        <f>N51-R51</f>
        <v>-398.57</v>
      </c>
    </row>
    <row r="52" spans="1:20" x14ac:dyDescent="0.3">
      <c r="A52" s="135">
        <v>18</v>
      </c>
      <c r="B52" s="135">
        <v>1</v>
      </c>
      <c r="C52" s="136">
        <v>2.0049999999999999</v>
      </c>
      <c r="D52" s="137"/>
      <c r="E52" s="137">
        <v>48.22</v>
      </c>
      <c r="F52" s="137"/>
      <c r="G52" s="137">
        <f t="shared" si="7"/>
        <v>48.22</v>
      </c>
      <c r="J52" s="111"/>
      <c r="K52" s="111" t="s">
        <v>158</v>
      </c>
      <c r="L52" s="111">
        <v>16.09</v>
      </c>
      <c r="M52" s="111" t="s">
        <v>163</v>
      </c>
      <c r="N52" s="112">
        <f>SUM(L52:M52)</f>
        <v>16.09</v>
      </c>
      <c r="O52" s="113"/>
      <c r="P52" s="111" t="s">
        <v>163</v>
      </c>
      <c r="Q52" s="111" t="s">
        <v>163</v>
      </c>
      <c r="R52" s="112">
        <f t="shared" si="8"/>
        <v>0</v>
      </c>
      <c r="S52" s="113"/>
      <c r="T52" s="114">
        <f>N52-R52</f>
        <v>16.09</v>
      </c>
    </row>
    <row r="53" spans="1:20" x14ac:dyDescent="0.3">
      <c r="A53" s="79">
        <v>19</v>
      </c>
      <c r="B53" s="102">
        <v>4.0999999999999996</v>
      </c>
      <c r="C53" s="115">
        <v>2.0840000000000001</v>
      </c>
      <c r="D53" s="117"/>
      <c r="E53" s="100">
        <f>VLOOKUP($C53,Лист5!$A$1:$B$104,2,)</f>
        <v>77.849999999999994</v>
      </c>
      <c r="F53" s="103"/>
      <c r="G53" s="99">
        <f t="shared" si="7"/>
        <v>77.849999999999994</v>
      </c>
      <c r="J53" s="106"/>
      <c r="K53" s="106" t="s">
        <v>159</v>
      </c>
      <c r="L53" s="106">
        <v>2.4</v>
      </c>
      <c r="M53" s="106" t="s">
        <v>163</v>
      </c>
      <c r="N53" s="107">
        <f>SUM(L53:M53)</f>
        <v>2.4</v>
      </c>
      <c r="P53" s="109" t="s">
        <v>163</v>
      </c>
      <c r="Q53" s="109" t="s">
        <v>163</v>
      </c>
      <c r="R53" s="110">
        <f t="shared" si="8"/>
        <v>0</v>
      </c>
      <c r="T53" s="101">
        <f>N53-R53</f>
        <v>2.4</v>
      </c>
    </row>
    <row r="54" spans="1:20" x14ac:dyDescent="0.3">
      <c r="A54" s="79">
        <v>20</v>
      </c>
      <c r="B54" s="102">
        <v>4.0999999999999996</v>
      </c>
      <c r="C54" s="115">
        <v>2.0870000000000002</v>
      </c>
      <c r="D54" s="117"/>
      <c r="E54" s="100">
        <f>VLOOKUP($C54,Лист5!$A$1:$B$104,2,)</f>
        <v>83.33</v>
      </c>
      <c r="F54" s="103"/>
      <c r="G54" s="99">
        <f t="shared" si="7"/>
        <v>83.33</v>
      </c>
    </row>
    <row r="55" spans="1:20" x14ac:dyDescent="0.3">
      <c r="A55" s="79">
        <v>21</v>
      </c>
      <c r="B55" s="102">
        <v>4.0999999999999996</v>
      </c>
      <c r="C55" s="115">
        <v>2.109</v>
      </c>
      <c r="D55" s="117"/>
      <c r="E55" s="100">
        <f>VLOOKUP($C55,Лист5!$A$1:$B$104,2,)</f>
        <v>105.714</v>
      </c>
      <c r="F55" s="103"/>
      <c r="G55" s="99">
        <f t="shared" si="7"/>
        <v>105.714</v>
      </c>
    </row>
    <row r="56" spans="1:20" x14ac:dyDescent="0.3">
      <c r="A56" s="135">
        <v>22</v>
      </c>
      <c r="B56" s="135">
        <v>4.0999999999999996</v>
      </c>
      <c r="C56" s="136">
        <v>2.16</v>
      </c>
      <c r="D56" s="138"/>
      <c r="E56" s="137">
        <f>VLOOKUP($C56,Лист5!$A$1:$B$104,2,)</f>
        <v>78.209999999999994</v>
      </c>
      <c r="F56" s="137"/>
      <c r="G56" s="137">
        <f t="shared" si="7"/>
        <v>78.209999999999994</v>
      </c>
    </row>
    <row r="57" spans="1:20" x14ac:dyDescent="0.3">
      <c r="A57" s="79">
        <v>23</v>
      </c>
      <c r="B57" s="102">
        <v>4.0999999999999996</v>
      </c>
      <c r="C57" s="115">
        <v>2.1680000000000001</v>
      </c>
      <c r="D57" s="117"/>
      <c r="E57" s="100">
        <f>VLOOKUP($C57,Лист5!$A$1:$B$104,2,)</f>
        <v>42</v>
      </c>
      <c r="F57" s="103"/>
      <c r="G57" s="99">
        <f t="shared" si="7"/>
        <v>42</v>
      </c>
    </row>
    <row r="58" spans="1:20" x14ac:dyDescent="0.3">
      <c r="A58" s="79"/>
      <c r="B58" s="79"/>
      <c r="C58" s="79" t="s">
        <v>19</v>
      </c>
      <c r="D58" s="99">
        <f t="shared" ref="D58:E58" si="9">SUM(D35:D57)</f>
        <v>3430.5099999999998</v>
      </c>
      <c r="E58" s="99">
        <f t="shared" si="9"/>
        <v>435.32399999999996</v>
      </c>
      <c r="F58" s="99">
        <f>SUM(F35:F57)</f>
        <v>0</v>
      </c>
      <c r="G58" s="99">
        <f>SUM(G35:G51)</f>
        <v>3430.5099999999998</v>
      </c>
    </row>
    <row r="60" spans="1:20" x14ac:dyDescent="0.3">
      <c r="B60" s="93" t="s">
        <v>153</v>
      </c>
      <c r="C60" s="130"/>
      <c r="D60" s="95" t="s">
        <v>149</v>
      </c>
      <c r="E60" s="96" t="s">
        <v>151</v>
      </c>
      <c r="F60" s="96" t="s">
        <v>152</v>
      </c>
      <c r="J60" s="132" t="s">
        <v>153</v>
      </c>
      <c r="K60" s="130"/>
      <c r="L60" s="95" t="s">
        <v>149</v>
      </c>
      <c r="M60" s="96" t="s">
        <v>151</v>
      </c>
      <c r="N60" s="96" t="s">
        <v>152</v>
      </c>
    </row>
    <row r="61" spans="1:20" x14ac:dyDescent="0.3">
      <c r="B61" s="130">
        <v>1</v>
      </c>
      <c r="C61" s="130"/>
      <c r="D61" s="131">
        <f>SUM(D35:D45)</f>
        <v>1511.6744999999999</v>
      </c>
      <c r="E61" s="131">
        <f>E52</f>
        <v>48.22</v>
      </c>
      <c r="F61" s="131">
        <f>F54</f>
        <v>0</v>
      </c>
      <c r="J61" s="130">
        <v>1</v>
      </c>
      <c r="K61" s="130"/>
      <c r="L61" s="131">
        <f>L49</f>
        <v>1537.74</v>
      </c>
      <c r="M61" s="131">
        <f>L50</f>
        <v>51.07</v>
      </c>
      <c r="N61" s="131">
        <f>N54</f>
        <v>0</v>
      </c>
      <c r="P61" s="101">
        <f>L61-D61</f>
        <v>26.065500000000156</v>
      </c>
      <c r="Q61" s="101">
        <f>M61-E61</f>
        <v>2.8500000000000014</v>
      </c>
    </row>
    <row r="62" spans="1:20" x14ac:dyDescent="0.3">
      <c r="B62" s="130">
        <v>4.0999999999999996</v>
      </c>
      <c r="C62" s="130"/>
      <c r="D62" s="131">
        <f>SUM(D46:D51)</f>
        <v>1918.8355000000001</v>
      </c>
      <c r="E62" s="131">
        <f>SUM(E53:E57)</f>
        <v>387.10399999999998</v>
      </c>
      <c r="F62" s="131">
        <f>SUM(F55:F57)</f>
        <v>0</v>
      </c>
      <c r="J62" s="130">
        <v>4.0999999999999996</v>
      </c>
      <c r="K62" s="130"/>
      <c r="L62" s="131">
        <f>M49</f>
        <v>1995.77</v>
      </c>
      <c r="M62" s="131">
        <f>M50</f>
        <v>409.01</v>
      </c>
      <c r="N62" s="131">
        <f>SUM(N55:N57)</f>
        <v>0</v>
      </c>
      <c r="P62" s="101">
        <f>L62-D62</f>
        <v>76.934499999999844</v>
      </c>
      <c r="Q62" s="101">
        <f>M62-E62</f>
        <v>21.906000000000006</v>
      </c>
    </row>
    <row r="63" spans="1:20" x14ac:dyDescent="0.3">
      <c r="D63" s="101"/>
      <c r="E63" s="101"/>
      <c r="F63" s="101"/>
    </row>
    <row r="64" spans="1:20" x14ac:dyDescent="0.3">
      <c r="D64" s="101"/>
      <c r="E64" s="101"/>
      <c r="F64" s="101"/>
    </row>
    <row r="65" spans="1:8" x14ac:dyDescent="0.3">
      <c r="D65" s="101"/>
      <c r="E65" s="101"/>
      <c r="F65" s="101"/>
    </row>
    <row r="66" spans="1:8" x14ac:dyDescent="0.3">
      <c r="D66" s="101"/>
      <c r="E66" s="101"/>
      <c r="F66" s="101"/>
    </row>
    <row r="67" spans="1:8" x14ac:dyDescent="0.3">
      <c r="A67" s="329" t="s">
        <v>2</v>
      </c>
      <c r="B67" s="329"/>
      <c r="C67" s="329"/>
      <c r="D67" s="329"/>
      <c r="E67" s="329"/>
      <c r="F67" s="329"/>
      <c r="G67" s="329"/>
    </row>
    <row r="68" spans="1:8" x14ac:dyDescent="0.3">
      <c r="A68" s="79"/>
      <c r="B68" s="79"/>
      <c r="C68" s="94"/>
      <c r="D68" s="95" t="s">
        <v>149</v>
      </c>
      <c r="E68" s="95" t="s">
        <v>150</v>
      </c>
      <c r="F68" s="96" t="s">
        <v>151</v>
      </c>
      <c r="G68" s="96" t="s">
        <v>152</v>
      </c>
      <c r="H68" s="80" t="s">
        <v>3</v>
      </c>
    </row>
    <row r="69" spans="1:8" x14ac:dyDescent="0.3">
      <c r="A69" s="79" t="s">
        <v>0</v>
      </c>
      <c r="B69" s="79" t="s">
        <v>153</v>
      </c>
      <c r="C69" s="97" t="s">
        <v>5</v>
      </c>
      <c r="D69" s="98" t="s">
        <v>4</v>
      </c>
      <c r="E69" s="98" t="s">
        <v>4</v>
      </c>
      <c r="F69" s="98" t="s">
        <v>4</v>
      </c>
      <c r="G69" s="98" t="s">
        <v>4</v>
      </c>
      <c r="H69" s="99" t="s">
        <v>4</v>
      </c>
    </row>
    <row r="70" spans="1:8" x14ac:dyDescent="0.3">
      <c r="A70" s="135">
        <v>1</v>
      </c>
      <c r="B70" s="135">
        <v>1</v>
      </c>
      <c r="C70" s="136">
        <v>3.0009999999999999</v>
      </c>
      <c r="D70" s="137">
        <f>VLOOKUP($C70,Лист5!$A$1:$B$104,2,)</f>
        <v>168.78</v>
      </c>
      <c r="E70" s="137"/>
      <c r="F70" s="137"/>
      <c r="G70" s="137"/>
      <c r="H70" s="137">
        <f t="shared" ref="H70:H88" si="10">SUM(D70:G70)</f>
        <v>168.78</v>
      </c>
    </row>
    <row r="71" spans="1:8" x14ac:dyDescent="0.3">
      <c r="A71" s="135">
        <v>2</v>
      </c>
      <c r="B71" s="135">
        <v>1</v>
      </c>
      <c r="C71" s="136">
        <v>3.0019999999999998</v>
      </c>
      <c r="D71" s="137">
        <f>VLOOKUP($C71,Лист5!$A$1:$B$104,2,)</f>
        <v>105.58</v>
      </c>
      <c r="E71" s="137"/>
      <c r="F71" s="137"/>
      <c r="G71" s="137"/>
      <c r="H71" s="137">
        <f t="shared" si="10"/>
        <v>105.58</v>
      </c>
    </row>
    <row r="72" spans="1:8" x14ac:dyDescent="0.3">
      <c r="A72" s="135">
        <v>3</v>
      </c>
      <c r="B72" s="135">
        <v>1</v>
      </c>
      <c r="C72" s="136">
        <v>3.0030000000000001</v>
      </c>
      <c r="D72" s="137">
        <f>VLOOKUP($C72,Лист5!$A$1:$B$104,2,)</f>
        <v>105.79</v>
      </c>
      <c r="E72" s="137"/>
      <c r="F72" s="137"/>
      <c r="G72" s="137"/>
      <c r="H72" s="137">
        <f t="shared" si="10"/>
        <v>105.79</v>
      </c>
    </row>
    <row r="73" spans="1:8" x14ac:dyDescent="0.3">
      <c r="A73" s="79">
        <v>4</v>
      </c>
      <c r="B73" s="79">
        <v>1</v>
      </c>
      <c r="C73" s="115">
        <v>3.004</v>
      </c>
      <c r="D73" s="100">
        <f>VLOOKUP($C73,Лист5!$A$1:$B$104,2,)</f>
        <v>116.51</v>
      </c>
      <c r="E73" s="103"/>
      <c r="F73" s="103"/>
      <c r="G73" s="103"/>
      <c r="H73" s="99">
        <f t="shared" si="10"/>
        <v>116.51</v>
      </c>
    </row>
    <row r="74" spans="1:8" x14ac:dyDescent="0.3">
      <c r="A74" s="135">
        <v>5</v>
      </c>
      <c r="B74" s="135">
        <v>1</v>
      </c>
      <c r="C74" s="136">
        <v>3.0049999999999999</v>
      </c>
      <c r="D74" s="137">
        <f>VLOOKUP($C74,Лист5!$A$1:$B$104,2,)</f>
        <v>402.53</v>
      </c>
      <c r="E74" s="137"/>
      <c r="F74" s="137"/>
      <c r="G74" s="137"/>
      <c r="H74" s="137">
        <f t="shared" si="10"/>
        <v>402.53</v>
      </c>
    </row>
    <row r="75" spans="1:8" x14ac:dyDescent="0.3">
      <c r="A75" s="79">
        <v>6</v>
      </c>
      <c r="B75" s="79">
        <v>1</v>
      </c>
      <c r="C75" s="115">
        <v>3.008</v>
      </c>
      <c r="D75" s="100">
        <f>VLOOKUP($C75,Лист5!$A$1:$B$104,2,)</f>
        <v>102.57</v>
      </c>
      <c r="E75" s="103"/>
      <c r="F75" s="103"/>
      <c r="G75" s="103"/>
      <c r="H75" s="99">
        <f t="shared" si="10"/>
        <v>102.57</v>
      </c>
    </row>
    <row r="76" spans="1:8" x14ac:dyDescent="0.3">
      <c r="A76" s="79">
        <v>7</v>
      </c>
      <c r="B76" s="79">
        <v>1</v>
      </c>
      <c r="C76" s="115">
        <v>3.0089999999999999</v>
      </c>
      <c r="D76" s="100">
        <f>VLOOKUP($C76,Лист5!$A$1:$B$104,2,)</f>
        <v>104.69999999999999</v>
      </c>
      <c r="E76" s="103"/>
      <c r="F76" s="103"/>
      <c r="G76" s="103"/>
      <c r="H76" s="99">
        <f t="shared" si="10"/>
        <v>104.69999999999999</v>
      </c>
    </row>
    <row r="77" spans="1:8" x14ac:dyDescent="0.3">
      <c r="A77" s="79">
        <v>8</v>
      </c>
      <c r="B77" s="79">
        <v>1</v>
      </c>
      <c r="C77" s="115">
        <v>3.01</v>
      </c>
      <c r="D77" s="100">
        <f>VLOOKUP($C77,Лист5!$A$1:$B$104,2,)</f>
        <v>101.61</v>
      </c>
      <c r="E77" s="103"/>
      <c r="F77" s="103"/>
      <c r="G77" s="103"/>
      <c r="H77" s="99">
        <f t="shared" si="10"/>
        <v>101.61</v>
      </c>
    </row>
    <row r="78" spans="1:8" x14ac:dyDescent="0.3">
      <c r="A78" s="79">
        <v>9</v>
      </c>
      <c r="B78" s="79">
        <v>1</v>
      </c>
      <c r="C78" s="115">
        <v>3.0110000000000001</v>
      </c>
      <c r="D78" s="100">
        <f>VLOOKUP($C78,Лист5!$A$1:$B$104,2,)</f>
        <v>105.25</v>
      </c>
      <c r="E78" s="103"/>
      <c r="F78" s="103"/>
      <c r="G78" s="103"/>
      <c r="H78" s="99">
        <f t="shared" si="10"/>
        <v>105.25</v>
      </c>
    </row>
    <row r="79" spans="1:8" x14ac:dyDescent="0.3">
      <c r="A79" s="79">
        <v>10</v>
      </c>
      <c r="B79" s="79">
        <v>1</v>
      </c>
      <c r="C79" s="115">
        <v>3.012</v>
      </c>
      <c r="D79" s="100">
        <f>VLOOKUP($C79,Лист5!$A$1:$B$104,2,)</f>
        <v>105.33</v>
      </c>
      <c r="E79" s="103"/>
      <c r="F79" s="103"/>
      <c r="G79" s="103"/>
      <c r="H79" s="99">
        <f t="shared" si="10"/>
        <v>105.33</v>
      </c>
    </row>
    <row r="80" spans="1:8" x14ac:dyDescent="0.3">
      <c r="A80" s="79">
        <v>11</v>
      </c>
      <c r="B80" s="79">
        <v>1</v>
      </c>
      <c r="C80" s="115">
        <v>3.0129999999999999</v>
      </c>
      <c r="D80" s="100">
        <f>VLOOKUP($C80,Лист5!$A$1:$B$104,2,)</f>
        <v>101.95</v>
      </c>
      <c r="E80" s="103"/>
      <c r="F80" s="103"/>
      <c r="G80" s="103"/>
      <c r="H80" s="99">
        <f t="shared" si="10"/>
        <v>101.95</v>
      </c>
    </row>
    <row r="81" spans="1:20" x14ac:dyDescent="0.3">
      <c r="A81" s="79">
        <v>12</v>
      </c>
      <c r="B81" s="79">
        <v>1</v>
      </c>
      <c r="C81" s="115">
        <v>3.0139999999999998</v>
      </c>
      <c r="D81" s="100">
        <f>VLOOKUP($C81,Лист5!$A$1:$B$104,2,)</f>
        <v>221.42</v>
      </c>
      <c r="E81" s="103"/>
      <c r="F81" s="103"/>
      <c r="G81" s="103"/>
      <c r="H81" s="99">
        <f t="shared" si="10"/>
        <v>221.42</v>
      </c>
    </row>
    <row r="82" spans="1:20" x14ac:dyDescent="0.3">
      <c r="A82" s="79">
        <v>13</v>
      </c>
      <c r="B82" s="102">
        <v>4.0999999999999996</v>
      </c>
      <c r="C82" s="115">
        <v>3.0190000000000001</v>
      </c>
      <c r="D82" s="100">
        <f>VLOOKUP($C82,Лист5!$A$1:$B$104,2,)</f>
        <v>283.38</v>
      </c>
      <c r="E82" s="103"/>
      <c r="F82" s="103"/>
      <c r="G82" s="103"/>
      <c r="H82" s="99">
        <f t="shared" si="10"/>
        <v>283.38</v>
      </c>
      <c r="J82" s="111" t="s">
        <v>162</v>
      </c>
      <c r="K82" s="111" t="s">
        <v>155</v>
      </c>
      <c r="L82" s="111">
        <v>1765.15</v>
      </c>
      <c r="M82" s="111">
        <v>642.66</v>
      </c>
      <c r="N82" s="112">
        <f t="shared" ref="N82:N87" si="11">SUM(L82:M82)</f>
        <v>2407.81</v>
      </c>
      <c r="O82" s="113"/>
      <c r="P82" s="111">
        <v>1762.76</v>
      </c>
      <c r="Q82" s="111">
        <v>642.66</v>
      </c>
      <c r="R82" s="112">
        <f t="shared" ref="R82:R87" si="12">SUM(P82:Q82)</f>
        <v>2405.42</v>
      </c>
      <c r="S82" s="113"/>
      <c r="T82" s="114">
        <f t="shared" ref="T82:T87" si="13">N82-R82</f>
        <v>2.3899999999998727</v>
      </c>
    </row>
    <row r="83" spans="1:20" x14ac:dyDescent="0.3">
      <c r="A83" s="79">
        <v>14</v>
      </c>
      <c r="B83" s="102">
        <v>4.0999999999999996</v>
      </c>
      <c r="C83" s="115">
        <v>3.02</v>
      </c>
      <c r="D83" s="100">
        <f>VLOOKUP($C83,Лист5!$A$1:$B$104,2,)</f>
        <v>317.98</v>
      </c>
      <c r="E83" s="103"/>
      <c r="F83" s="103"/>
      <c r="G83" s="103"/>
      <c r="H83" s="99">
        <f t="shared" si="10"/>
        <v>317.98</v>
      </c>
      <c r="J83" s="106"/>
      <c r="K83" s="106" t="s">
        <v>165</v>
      </c>
      <c r="L83" s="106"/>
      <c r="M83" s="106">
        <v>182.74</v>
      </c>
      <c r="N83" s="107">
        <f t="shared" si="11"/>
        <v>182.74</v>
      </c>
      <c r="P83" s="109"/>
      <c r="Q83" s="109">
        <v>182.74</v>
      </c>
      <c r="R83" s="110">
        <f t="shared" si="12"/>
        <v>182.74</v>
      </c>
      <c r="T83" s="101">
        <f t="shared" si="13"/>
        <v>0</v>
      </c>
    </row>
    <row r="84" spans="1:20" x14ac:dyDescent="0.3">
      <c r="A84" s="79">
        <v>15</v>
      </c>
      <c r="B84" s="102">
        <v>4.0999999999999996</v>
      </c>
      <c r="C84" s="104" t="s">
        <v>121</v>
      </c>
      <c r="D84" s="103"/>
      <c r="E84" s="100">
        <v>182.74</v>
      </c>
      <c r="F84" s="103"/>
      <c r="G84" s="103"/>
      <c r="H84" s="99">
        <f t="shared" si="10"/>
        <v>182.74</v>
      </c>
      <c r="J84" s="111"/>
      <c r="K84" s="111" t="s">
        <v>156</v>
      </c>
      <c r="L84" s="111">
        <v>49.99</v>
      </c>
      <c r="M84" s="111">
        <v>189.76</v>
      </c>
      <c r="N84" s="112">
        <f t="shared" si="11"/>
        <v>239.75</v>
      </c>
      <c r="O84" s="113"/>
      <c r="P84" s="111">
        <v>51.07</v>
      </c>
      <c r="Q84" s="111">
        <v>193.9</v>
      </c>
      <c r="R84" s="112">
        <f t="shared" si="12"/>
        <v>244.97</v>
      </c>
      <c r="S84" s="113"/>
      <c r="T84" s="114">
        <f t="shared" si="13"/>
        <v>-5.2199999999999989</v>
      </c>
    </row>
    <row r="85" spans="1:20" x14ac:dyDescent="0.3">
      <c r="A85" s="135">
        <v>16</v>
      </c>
      <c r="B85" s="135">
        <v>1</v>
      </c>
      <c r="C85" s="139">
        <v>3.0059999999999998</v>
      </c>
      <c r="D85" s="137"/>
      <c r="E85" s="137"/>
      <c r="F85" s="137">
        <f>VLOOKUP($C85,Лист5!$A$1:$B$104,2,)</f>
        <v>48.730000000000004</v>
      </c>
      <c r="G85" s="137"/>
      <c r="H85" s="137">
        <f t="shared" si="10"/>
        <v>48.730000000000004</v>
      </c>
      <c r="J85" s="106"/>
      <c r="K85" s="106" t="s">
        <v>157</v>
      </c>
      <c r="L85" s="106" t="s">
        <v>163</v>
      </c>
      <c r="M85" s="106" t="s">
        <v>163</v>
      </c>
      <c r="N85" s="107">
        <f t="shared" si="11"/>
        <v>0</v>
      </c>
      <c r="P85" s="109">
        <v>60.25</v>
      </c>
      <c r="Q85" s="109" t="s">
        <v>163</v>
      </c>
      <c r="R85" s="110">
        <f t="shared" si="12"/>
        <v>60.25</v>
      </c>
      <c r="T85" s="101">
        <f t="shared" si="13"/>
        <v>-60.25</v>
      </c>
    </row>
    <row r="86" spans="1:20" x14ac:dyDescent="0.3">
      <c r="A86" s="79">
        <v>17</v>
      </c>
      <c r="B86" s="102">
        <v>4.0999999999999996</v>
      </c>
      <c r="C86" s="104">
        <v>3.0209999999999999</v>
      </c>
      <c r="D86" s="103"/>
      <c r="E86" s="103"/>
      <c r="F86" s="100">
        <f>VLOOKUP($C86,Лист5!$A$1:$B$104,2,)</f>
        <v>85.69</v>
      </c>
      <c r="G86" s="103"/>
      <c r="H86" s="99">
        <f t="shared" si="10"/>
        <v>85.69</v>
      </c>
      <c r="J86" s="111"/>
      <c r="K86" s="111" t="s">
        <v>158</v>
      </c>
      <c r="L86" s="111">
        <v>17.940000000000001</v>
      </c>
      <c r="M86" s="111"/>
      <c r="N86" s="112">
        <f t="shared" si="11"/>
        <v>17.940000000000001</v>
      </c>
      <c r="O86" s="113"/>
      <c r="P86" s="111" t="s">
        <v>163</v>
      </c>
      <c r="Q86" s="111" t="s">
        <v>163</v>
      </c>
      <c r="R86" s="112">
        <f t="shared" si="12"/>
        <v>0</v>
      </c>
      <c r="S86" s="113"/>
      <c r="T86" s="114">
        <f t="shared" si="13"/>
        <v>17.940000000000001</v>
      </c>
    </row>
    <row r="87" spans="1:20" x14ac:dyDescent="0.3">
      <c r="A87" s="135">
        <v>18</v>
      </c>
      <c r="B87" s="135">
        <v>4.0999999999999996</v>
      </c>
      <c r="C87" s="139">
        <v>3.085</v>
      </c>
      <c r="D87" s="137"/>
      <c r="E87" s="137"/>
      <c r="F87" s="137">
        <f>VLOOKUP($C87,Лист5!$A$1:$B$104,2,)</f>
        <v>54.81</v>
      </c>
      <c r="G87" s="137"/>
      <c r="H87" s="137">
        <f t="shared" si="10"/>
        <v>54.81</v>
      </c>
      <c r="J87" s="106"/>
      <c r="K87" s="106" t="s">
        <v>159</v>
      </c>
      <c r="L87" s="106">
        <v>3.6</v>
      </c>
      <c r="M87" s="106"/>
      <c r="N87" s="107">
        <f t="shared" si="11"/>
        <v>3.6</v>
      </c>
      <c r="P87" s="109" t="s">
        <v>163</v>
      </c>
      <c r="Q87" s="109" t="s">
        <v>163</v>
      </c>
      <c r="R87" s="110">
        <f t="shared" si="12"/>
        <v>0</v>
      </c>
      <c r="T87" s="101">
        <f t="shared" si="13"/>
        <v>3.6</v>
      </c>
    </row>
    <row r="88" spans="1:20" x14ac:dyDescent="0.3">
      <c r="A88" s="79">
        <v>19</v>
      </c>
      <c r="B88" s="102">
        <v>4.0999999999999996</v>
      </c>
      <c r="C88" s="104">
        <v>3.0939999999999999</v>
      </c>
      <c r="D88" s="103"/>
      <c r="E88" s="103"/>
      <c r="F88" s="100">
        <f>VLOOKUP($C88,Лист5!$A$1:$B$104,2,)</f>
        <v>62.410000000000004</v>
      </c>
      <c r="G88" s="103"/>
      <c r="H88" s="99">
        <f t="shared" si="10"/>
        <v>62.410000000000004</v>
      </c>
    </row>
    <row r="89" spans="1:20" x14ac:dyDescent="0.3">
      <c r="A89" s="79"/>
      <c r="B89" s="79"/>
      <c r="C89" s="79" t="s">
        <v>19</v>
      </c>
      <c r="D89" s="99">
        <f>SUM(D70:D88)</f>
        <v>2343.38</v>
      </c>
      <c r="E89" s="99">
        <f t="shared" ref="E89:F89" si="14">SUM(E70:E88)</f>
        <v>182.74</v>
      </c>
      <c r="F89" s="99">
        <f t="shared" si="14"/>
        <v>251.64000000000001</v>
      </c>
      <c r="G89" s="99">
        <f t="shared" ref="G89" si="15">SUM(G70:G88)</f>
        <v>0</v>
      </c>
      <c r="H89" s="99">
        <f t="shared" ref="H89" si="16">SUM(H70:H88)</f>
        <v>2777.7599999999998</v>
      </c>
    </row>
    <row r="91" spans="1:20" x14ac:dyDescent="0.3">
      <c r="B91" s="93" t="s">
        <v>153</v>
      </c>
      <c r="C91" s="130"/>
      <c r="D91" s="95" t="s">
        <v>149</v>
      </c>
      <c r="E91" s="95" t="s">
        <v>150</v>
      </c>
      <c r="F91" s="96" t="s">
        <v>151</v>
      </c>
      <c r="G91" s="96" t="s">
        <v>152</v>
      </c>
      <c r="J91" s="132" t="s">
        <v>153</v>
      </c>
      <c r="K91" s="130"/>
      <c r="L91" s="95" t="s">
        <v>149</v>
      </c>
      <c r="M91" s="95" t="s">
        <v>150</v>
      </c>
      <c r="N91" s="96" t="s">
        <v>151</v>
      </c>
      <c r="O91" s="96" t="s">
        <v>152</v>
      </c>
    </row>
    <row r="92" spans="1:20" x14ac:dyDescent="0.3">
      <c r="B92" s="130">
        <v>1</v>
      </c>
      <c r="C92" s="130"/>
      <c r="D92" s="131">
        <f>SUM(D70:D81)</f>
        <v>1742.02</v>
      </c>
      <c r="E92" s="130"/>
      <c r="F92" s="131">
        <f>F85</f>
        <v>48.730000000000004</v>
      </c>
      <c r="G92" s="130"/>
      <c r="J92" s="130">
        <v>1</v>
      </c>
      <c r="K92" s="130"/>
      <c r="L92" s="131">
        <f>L82</f>
        <v>1765.15</v>
      </c>
      <c r="M92" s="130">
        <f>L83</f>
        <v>0</v>
      </c>
      <c r="N92" s="131">
        <f>L84</f>
        <v>49.99</v>
      </c>
      <c r="O92" s="130"/>
      <c r="P92" s="101">
        <f t="shared" ref="P92:S93" si="17">L92-D92</f>
        <v>23.130000000000109</v>
      </c>
      <c r="Q92" s="101">
        <f t="shared" si="17"/>
        <v>0</v>
      </c>
      <c r="R92" s="101">
        <f t="shared" si="17"/>
        <v>1.259999999999998</v>
      </c>
      <c r="S92" s="101">
        <f t="shared" si="17"/>
        <v>0</v>
      </c>
    </row>
    <row r="93" spans="1:20" x14ac:dyDescent="0.3">
      <c r="B93" s="130">
        <v>4.0999999999999996</v>
      </c>
      <c r="C93" s="130"/>
      <c r="D93" s="131">
        <f>SUM(D82:D83)</f>
        <v>601.36</v>
      </c>
      <c r="E93" s="131">
        <f>E84</f>
        <v>182.74</v>
      </c>
      <c r="F93" s="131">
        <f>SUM(F86:F88)</f>
        <v>202.91</v>
      </c>
      <c r="G93" s="130"/>
      <c r="J93" s="130">
        <v>4.0999999999999996</v>
      </c>
      <c r="K93" s="130"/>
      <c r="L93" s="131">
        <f>M82</f>
        <v>642.66</v>
      </c>
      <c r="M93" s="131">
        <f>M83</f>
        <v>182.74</v>
      </c>
      <c r="N93" s="131">
        <f>M84</f>
        <v>189.76</v>
      </c>
      <c r="O93" s="130"/>
      <c r="P93" s="101">
        <f t="shared" si="17"/>
        <v>41.299999999999955</v>
      </c>
      <c r="Q93" s="101">
        <f t="shared" si="17"/>
        <v>0</v>
      </c>
      <c r="R93" s="101">
        <f t="shared" si="17"/>
        <v>-13.150000000000006</v>
      </c>
      <c r="S93" s="101">
        <f t="shared" si="17"/>
        <v>0</v>
      </c>
    </row>
  </sheetData>
  <mergeCells count="3">
    <mergeCell ref="A1:G1"/>
    <mergeCell ref="A32:G32"/>
    <mergeCell ref="A67:G67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F5"/>
  <sheetViews>
    <sheetView zoomScale="70" zoomScaleNormal="70" workbookViewId="0">
      <selection activeCell="J37" sqref="J37"/>
    </sheetView>
  </sheetViews>
  <sheetFormatPr defaultColWidth="9.109375" defaultRowHeight="18" x14ac:dyDescent="0.35"/>
  <cols>
    <col min="1" max="1" width="7.5546875" style="86" customWidth="1"/>
    <col min="2" max="2" width="61.6640625" style="90" customWidth="1"/>
    <col min="3" max="3" width="49.109375" style="90" customWidth="1"/>
    <col min="4" max="4" width="12.109375" style="86" customWidth="1"/>
    <col min="5" max="5" width="19.44140625" style="86" customWidth="1"/>
    <col min="6" max="6" width="11.44140625" style="86" customWidth="1"/>
    <col min="7" max="16384" width="9.109375" style="86"/>
  </cols>
  <sheetData>
    <row r="1" spans="1:6" x14ac:dyDescent="0.35">
      <c r="A1" s="81"/>
      <c r="B1" s="82" t="s">
        <v>319</v>
      </c>
      <c r="C1" s="82"/>
      <c r="D1" s="83"/>
      <c r="E1" s="84"/>
      <c r="F1" s="85"/>
    </row>
    <row r="2" spans="1:6" s="92" customFormat="1" x14ac:dyDescent="0.3">
      <c r="A2" s="81" t="s">
        <v>0</v>
      </c>
      <c r="B2" s="91" t="s">
        <v>1</v>
      </c>
      <c r="C2" s="91" t="s">
        <v>148</v>
      </c>
      <c r="D2" s="83" t="s">
        <v>15</v>
      </c>
      <c r="E2" s="84" t="s">
        <v>16</v>
      </c>
      <c r="F2" s="83" t="s">
        <v>8</v>
      </c>
    </row>
    <row r="3" spans="1:6" ht="54" x14ac:dyDescent="0.35">
      <c r="A3" s="87">
        <v>1</v>
      </c>
      <c r="B3" s="88" t="s">
        <v>145</v>
      </c>
      <c r="C3" s="88" t="s">
        <v>173</v>
      </c>
      <c r="D3" s="87" t="s">
        <v>82</v>
      </c>
      <c r="E3" s="87">
        <v>1</v>
      </c>
      <c r="F3" s="129">
        <f>'2.2)Шп1эт'!F24+'2.3)Шп2эт'!F25+'2.4)Шп3эт'!G17</f>
        <v>8114.59</v>
      </c>
    </row>
    <row r="4" spans="1:6" ht="36" x14ac:dyDescent="0.35">
      <c r="A4" s="87">
        <v>1.1000000000000001</v>
      </c>
      <c r="B4" s="88" t="s">
        <v>146</v>
      </c>
      <c r="C4" s="88"/>
      <c r="D4" s="87" t="s">
        <v>10</v>
      </c>
      <c r="E4" s="87">
        <v>1.8</v>
      </c>
      <c r="F4" s="129">
        <f>E4*F3</f>
        <v>14606.262000000001</v>
      </c>
    </row>
    <row r="5" spans="1:6" ht="36" x14ac:dyDescent="0.35">
      <c r="A5" s="87">
        <v>1.2</v>
      </c>
      <c r="B5" s="88" t="s">
        <v>147</v>
      </c>
      <c r="C5" s="88"/>
      <c r="D5" s="87" t="s">
        <v>10</v>
      </c>
      <c r="E5" s="87">
        <v>0.15</v>
      </c>
      <c r="F5" s="89">
        <f>E5*F3</f>
        <v>1217.1885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F24"/>
  <sheetViews>
    <sheetView zoomScale="85" zoomScaleNormal="85" workbookViewId="0">
      <selection activeCell="C9" sqref="C9:C13"/>
    </sheetView>
  </sheetViews>
  <sheetFormatPr defaultRowHeight="14.4" x14ac:dyDescent="0.3"/>
  <cols>
    <col min="3" max="3" width="11.5546875" customWidth="1"/>
    <col min="4" max="6" width="10.5546875" customWidth="1"/>
  </cols>
  <sheetData>
    <row r="1" spans="1:6" ht="15.6" x14ac:dyDescent="0.3">
      <c r="A1" s="329" t="s">
        <v>2</v>
      </c>
      <c r="B1" s="329"/>
      <c r="C1" s="329"/>
      <c r="D1" s="329"/>
      <c r="E1" s="329"/>
      <c r="F1" s="329"/>
    </row>
    <row r="2" spans="1:6" ht="15.6" x14ac:dyDescent="0.3">
      <c r="A2" s="133"/>
      <c r="B2" s="133"/>
      <c r="C2" s="94"/>
      <c r="D2" s="95" t="s">
        <v>149</v>
      </c>
      <c r="E2" s="96" t="s">
        <v>151</v>
      </c>
      <c r="F2" s="80" t="s">
        <v>3</v>
      </c>
    </row>
    <row r="3" spans="1:6" ht="15.6" x14ac:dyDescent="0.3">
      <c r="A3" s="133" t="s">
        <v>0</v>
      </c>
      <c r="B3" s="133" t="s">
        <v>153</v>
      </c>
      <c r="C3" s="97" t="s">
        <v>5</v>
      </c>
      <c r="D3" s="98" t="s">
        <v>4</v>
      </c>
      <c r="E3" s="98" t="s">
        <v>4</v>
      </c>
      <c r="F3" s="99" t="s">
        <v>4</v>
      </c>
    </row>
    <row r="4" spans="1:6" ht="15.6" x14ac:dyDescent="0.3">
      <c r="A4" s="133">
        <v>1</v>
      </c>
      <c r="B4" s="133">
        <v>1</v>
      </c>
      <c r="C4" s="119">
        <v>1.028</v>
      </c>
      <c r="D4" s="100">
        <f>VLOOKUP($C4,Лист5!$A$1:$B$104,2,)+15</f>
        <v>118.27</v>
      </c>
      <c r="E4" s="99"/>
      <c r="F4" s="99">
        <f t="shared" ref="F4:F23" si="0">SUM(D4:E4)</f>
        <v>118.27</v>
      </c>
    </row>
    <row r="5" spans="1:6" ht="15.6" x14ac:dyDescent="0.3">
      <c r="A5" s="133">
        <v>2</v>
      </c>
      <c r="B5" s="133">
        <v>1</v>
      </c>
      <c r="C5" s="119">
        <v>1.0269999999999999</v>
      </c>
      <c r="D5" s="100">
        <f>VLOOKUP($C5,Лист5!$A$1:$B$104,2,)+15</f>
        <v>125.55</v>
      </c>
      <c r="E5" s="99"/>
      <c r="F5" s="99">
        <f t="shared" si="0"/>
        <v>125.55</v>
      </c>
    </row>
    <row r="6" spans="1:6" ht="15.6" x14ac:dyDescent="0.3">
      <c r="A6" s="133">
        <v>3</v>
      </c>
      <c r="B6" s="133">
        <v>1</v>
      </c>
      <c r="C6" s="119">
        <v>1.026</v>
      </c>
      <c r="D6" s="100">
        <f>284.86+35</f>
        <v>319.86</v>
      </c>
      <c r="E6" s="99"/>
      <c r="F6" s="99">
        <f t="shared" si="0"/>
        <v>319.86</v>
      </c>
    </row>
    <row r="7" spans="1:6" ht="15.6" x14ac:dyDescent="0.3">
      <c r="A7" s="134">
        <v>4</v>
      </c>
      <c r="B7" s="133">
        <v>1</v>
      </c>
      <c r="C7" s="119">
        <v>1.0289999999999999</v>
      </c>
      <c r="D7" s="100">
        <f>VLOOKUP($C7,Лист5!$A$1:$B$104,2,)+10</f>
        <v>102.42</v>
      </c>
      <c r="E7" s="99"/>
      <c r="F7" s="99">
        <f t="shared" si="0"/>
        <v>102.42</v>
      </c>
    </row>
    <row r="8" spans="1:6" ht="15.6" x14ac:dyDescent="0.3">
      <c r="A8" s="134">
        <v>5</v>
      </c>
      <c r="B8" s="133">
        <v>1</v>
      </c>
      <c r="C8" s="119">
        <v>1.03</v>
      </c>
      <c r="D8" s="100">
        <f>VLOOKUP($C8,Лист5!$A$1:$B$104,2,)+7</f>
        <v>101.91</v>
      </c>
      <c r="E8" s="99"/>
      <c r="F8" s="99">
        <f t="shared" si="0"/>
        <v>101.91</v>
      </c>
    </row>
    <row r="9" spans="1:6" ht="15.6" x14ac:dyDescent="0.3">
      <c r="A9" s="134">
        <v>6</v>
      </c>
      <c r="B9" s="133">
        <v>1</v>
      </c>
      <c r="C9" s="119">
        <v>1.0309999999999999</v>
      </c>
      <c r="D9" s="100">
        <f>VLOOKUP($C9,Лист5!$A$1:$B$104,2,)+8</f>
        <v>98.2</v>
      </c>
      <c r="E9" s="99"/>
      <c r="F9" s="99">
        <f t="shared" si="0"/>
        <v>98.2</v>
      </c>
    </row>
    <row r="10" spans="1:6" ht="15.6" x14ac:dyDescent="0.3">
      <c r="A10" s="134">
        <v>7</v>
      </c>
      <c r="B10" s="133">
        <v>1</v>
      </c>
      <c r="C10" s="119">
        <v>1.032</v>
      </c>
      <c r="D10" s="100">
        <f>VLOOKUP($C10,Лист5!$A$1:$B$104,2,)+7</f>
        <v>94.76</v>
      </c>
      <c r="E10" s="99"/>
      <c r="F10" s="99">
        <f t="shared" si="0"/>
        <v>94.76</v>
      </c>
    </row>
    <row r="11" spans="1:6" ht="15.6" x14ac:dyDescent="0.3">
      <c r="A11" s="134">
        <v>8</v>
      </c>
      <c r="B11" s="133">
        <v>1</v>
      </c>
      <c r="C11" s="119">
        <v>1.0329999999999999</v>
      </c>
      <c r="D11" s="100">
        <f>VLOOKUP($C11,Лист5!$A$1:$B$104,2,)+10</f>
        <v>152.44</v>
      </c>
      <c r="E11" s="99"/>
      <c r="F11" s="99">
        <f t="shared" si="0"/>
        <v>152.44</v>
      </c>
    </row>
    <row r="12" spans="1:6" ht="15.6" x14ac:dyDescent="0.3">
      <c r="A12" s="134">
        <v>9</v>
      </c>
      <c r="B12" s="133">
        <v>1</v>
      </c>
      <c r="C12" s="119">
        <v>1.0389999999999999</v>
      </c>
      <c r="D12" s="100">
        <f>VLOOKUP($C12,Лист5!$A$1:$B$104,2,)+15</f>
        <v>181.2</v>
      </c>
      <c r="E12" s="99"/>
      <c r="F12" s="99">
        <f t="shared" si="0"/>
        <v>181.2</v>
      </c>
    </row>
    <row r="13" spans="1:6" ht="15.6" x14ac:dyDescent="0.3">
      <c r="A13" s="134">
        <v>10</v>
      </c>
      <c r="B13" s="133">
        <v>4.0999999999999996</v>
      </c>
      <c r="C13" s="119">
        <v>1.04</v>
      </c>
      <c r="D13" s="100">
        <f>164+32.45+20</f>
        <v>216.45</v>
      </c>
      <c r="E13" s="99"/>
      <c r="F13" s="99">
        <f t="shared" si="0"/>
        <v>216.45</v>
      </c>
    </row>
    <row r="14" spans="1:6" ht="15.6" x14ac:dyDescent="0.3">
      <c r="A14" s="134">
        <v>11</v>
      </c>
      <c r="B14" s="133">
        <v>4.0999999999999996</v>
      </c>
      <c r="C14" s="119">
        <v>1.0429999999999999</v>
      </c>
      <c r="D14" s="100">
        <f>18+83.8</f>
        <v>101.8</v>
      </c>
      <c r="E14" s="99"/>
      <c r="F14" s="99">
        <f t="shared" si="0"/>
        <v>101.8</v>
      </c>
    </row>
    <row r="15" spans="1:6" ht="15.6" x14ac:dyDescent="0.3">
      <c r="A15" s="134">
        <v>12</v>
      </c>
      <c r="B15" s="133">
        <v>4.0999999999999996</v>
      </c>
      <c r="C15" s="119">
        <v>1.044</v>
      </c>
      <c r="D15" s="100">
        <v>67.3</v>
      </c>
      <c r="E15" s="99"/>
      <c r="F15" s="99">
        <f t="shared" si="0"/>
        <v>67.3</v>
      </c>
    </row>
    <row r="16" spans="1:6" ht="15.6" x14ac:dyDescent="0.3">
      <c r="A16" s="134">
        <v>13</v>
      </c>
      <c r="B16" s="133">
        <v>4.0999999999999996</v>
      </c>
      <c r="C16" s="119">
        <v>1.046</v>
      </c>
      <c r="D16" s="100">
        <f>185.78+30</f>
        <v>215.78</v>
      </c>
      <c r="E16" s="99"/>
      <c r="F16" s="99">
        <f t="shared" si="0"/>
        <v>215.78</v>
      </c>
    </row>
    <row r="17" spans="1:6" ht="15.6" x14ac:dyDescent="0.3">
      <c r="A17" s="134">
        <v>14</v>
      </c>
      <c r="B17" s="133">
        <v>4.0999999999999996</v>
      </c>
      <c r="C17" s="119">
        <v>1.0449999999999999</v>
      </c>
      <c r="D17" s="100">
        <f>372.12-D16+20</f>
        <v>176.34</v>
      </c>
      <c r="E17" s="99"/>
      <c r="F17" s="99">
        <f t="shared" si="0"/>
        <v>176.34</v>
      </c>
    </row>
    <row r="18" spans="1:6" ht="15.6" x14ac:dyDescent="0.3">
      <c r="A18" s="134">
        <v>15</v>
      </c>
      <c r="B18" s="133">
        <v>4.0999999999999996</v>
      </c>
      <c r="C18" s="119">
        <v>1.0489999999999999</v>
      </c>
      <c r="D18" s="100">
        <f>VLOOKUP($C18,Лист5!$A$1:$B$104,2,)+15</f>
        <v>167.54</v>
      </c>
      <c r="E18" s="99"/>
      <c r="F18" s="99">
        <f t="shared" si="0"/>
        <v>167.54</v>
      </c>
    </row>
    <row r="19" spans="1:6" ht="15.6" x14ac:dyDescent="0.3">
      <c r="A19" s="134">
        <v>16</v>
      </c>
      <c r="B19" s="133">
        <v>4.0999999999999996</v>
      </c>
      <c r="C19" s="119">
        <v>1.05</v>
      </c>
      <c r="D19" s="100">
        <f>VLOOKUP($C19,Лист5!$A$1:$B$104,2,)+3</f>
        <v>88.4</v>
      </c>
      <c r="E19" s="99"/>
      <c r="F19" s="99">
        <f t="shared" si="0"/>
        <v>88.4</v>
      </c>
    </row>
    <row r="20" spans="1:6" ht="15.6" x14ac:dyDescent="0.3">
      <c r="A20" s="134">
        <v>17</v>
      </c>
      <c r="B20" s="133">
        <v>4.0999999999999996</v>
      </c>
      <c r="C20" s="119">
        <v>1.0509999999999999</v>
      </c>
      <c r="D20" s="100">
        <f>VLOOKUP($C20,Лист5!$A$1:$B$104,2,)+3</f>
        <v>91.85</v>
      </c>
      <c r="E20" s="99"/>
      <c r="F20" s="99">
        <f t="shared" si="0"/>
        <v>91.85</v>
      </c>
    </row>
    <row r="21" spans="1:6" ht="15.6" x14ac:dyDescent="0.3">
      <c r="A21" s="134">
        <v>18</v>
      </c>
      <c r="B21" s="133">
        <v>4.0999999999999996</v>
      </c>
      <c r="C21" s="119">
        <v>1.048</v>
      </c>
      <c r="D21" s="99"/>
      <c r="E21" s="100">
        <f>VLOOKUP($C21,Лист5!$A$1:$B$104,2,)</f>
        <v>75.8</v>
      </c>
      <c r="F21" s="99">
        <f t="shared" si="0"/>
        <v>75.8</v>
      </c>
    </row>
    <row r="22" spans="1:6" ht="15.6" x14ac:dyDescent="0.3">
      <c r="A22" s="134">
        <v>19</v>
      </c>
      <c r="B22" s="133">
        <v>4.0999999999999996</v>
      </c>
      <c r="C22" s="119">
        <v>1.0529999999999999</v>
      </c>
      <c r="D22" s="99"/>
      <c r="E22" s="100">
        <v>254.19</v>
      </c>
      <c r="F22" s="99">
        <f t="shared" si="0"/>
        <v>254.19</v>
      </c>
    </row>
    <row r="23" spans="1:6" ht="15.6" x14ac:dyDescent="0.3">
      <c r="A23" s="134">
        <v>20</v>
      </c>
      <c r="B23" s="133">
        <v>4.0999999999999996</v>
      </c>
      <c r="C23" s="119">
        <v>1.054</v>
      </c>
      <c r="D23" s="99"/>
      <c r="E23" s="100">
        <f>26+8+8.48</f>
        <v>42.480000000000004</v>
      </c>
      <c r="F23" s="99">
        <f t="shared" si="0"/>
        <v>42.480000000000004</v>
      </c>
    </row>
    <row r="24" spans="1:6" ht="15.6" x14ac:dyDescent="0.3">
      <c r="A24" s="133"/>
      <c r="B24" s="133"/>
      <c r="C24" s="133" t="s">
        <v>19</v>
      </c>
      <c r="D24" s="99">
        <f>SUM(D4:D23)</f>
        <v>2420.0700000000002</v>
      </c>
      <c r="E24" s="99">
        <f>SUM(E4:E23)</f>
        <v>372.47</v>
      </c>
      <c r="F24" s="99">
        <f>SUM(F4:F23)</f>
        <v>2792.5400000000004</v>
      </c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F25"/>
  <sheetViews>
    <sheetView workbookViewId="0">
      <selection activeCell="C9" sqref="C9:C13"/>
    </sheetView>
  </sheetViews>
  <sheetFormatPr defaultRowHeight="14.4" x14ac:dyDescent="0.3"/>
  <cols>
    <col min="3" max="3" width="11.5546875" customWidth="1"/>
    <col min="4" max="6" width="10.5546875" customWidth="1"/>
  </cols>
  <sheetData>
    <row r="1" spans="1:6" ht="15.6" x14ac:dyDescent="0.3">
      <c r="A1" s="329" t="s">
        <v>2</v>
      </c>
      <c r="B1" s="329"/>
      <c r="C1" s="329"/>
      <c r="D1" s="329"/>
      <c r="E1" s="329"/>
      <c r="F1" s="329"/>
    </row>
    <row r="2" spans="1:6" ht="15.6" x14ac:dyDescent="0.3">
      <c r="A2" s="133"/>
      <c r="B2" s="133"/>
      <c r="C2" s="94"/>
      <c r="D2" s="95" t="s">
        <v>149</v>
      </c>
      <c r="E2" s="96" t="s">
        <v>151</v>
      </c>
      <c r="F2" s="80" t="s">
        <v>3</v>
      </c>
    </row>
    <row r="3" spans="1:6" ht="15.6" x14ac:dyDescent="0.3">
      <c r="A3" s="133" t="s">
        <v>0</v>
      </c>
      <c r="B3" s="133" t="s">
        <v>153</v>
      </c>
      <c r="C3" s="97" t="s">
        <v>5</v>
      </c>
      <c r="D3" s="98" t="s">
        <v>4</v>
      </c>
      <c r="E3" s="98" t="s">
        <v>4</v>
      </c>
      <c r="F3" s="99" t="s">
        <v>4</v>
      </c>
    </row>
    <row r="4" spans="1:6" ht="15.6" x14ac:dyDescent="0.3">
      <c r="A4" s="133">
        <v>1</v>
      </c>
      <c r="B4" s="102">
        <v>1</v>
      </c>
      <c r="C4" s="104">
        <v>2.0009999999999999</v>
      </c>
      <c r="D4" s="100">
        <f>VLOOKUP($C4,Лист5!$A$1:$B$104,2,)</f>
        <v>118.17750000000001</v>
      </c>
      <c r="E4" s="103"/>
      <c r="F4" s="99">
        <f t="shared" ref="F4:F24" si="0">SUM(D4:E4)</f>
        <v>118.17750000000001</v>
      </c>
    </row>
    <row r="5" spans="1:6" ht="15.6" x14ac:dyDescent="0.3">
      <c r="A5" s="133">
        <v>2</v>
      </c>
      <c r="B5" s="102">
        <v>1</v>
      </c>
      <c r="C5" s="104">
        <v>2.0019999999999998</v>
      </c>
      <c r="D5" s="100">
        <f>VLOOKUP($C5,Лист5!$A$1:$B$104,2,)</f>
        <v>113.73599999999999</v>
      </c>
      <c r="E5" s="103"/>
      <c r="F5" s="99">
        <f t="shared" si="0"/>
        <v>113.73599999999999</v>
      </c>
    </row>
    <row r="6" spans="1:6" ht="15.6" x14ac:dyDescent="0.3">
      <c r="A6" s="133">
        <v>3</v>
      </c>
      <c r="B6" s="102">
        <v>1</v>
      </c>
      <c r="C6" s="104">
        <v>2.0030000000000001</v>
      </c>
      <c r="D6" s="100">
        <f>VLOOKUP($C6,Лист5!$A$1:$B$104,2,)</f>
        <v>122.50349999999997</v>
      </c>
      <c r="E6" s="103"/>
      <c r="F6" s="99">
        <f t="shared" si="0"/>
        <v>122.50349999999997</v>
      </c>
    </row>
    <row r="7" spans="1:6" ht="15.6" x14ac:dyDescent="0.3">
      <c r="A7" s="133">
        <v>4</v>
      </c>
      <c r="B7" s="102">
        <v>1</v>
      </c>
      <c r="C7" s="104">
        <v>2.004</v>
      </c>
      <c r="D7" s="100">
        <f>VLOOKUP($C7,Лист5!$A$1:$B$104,2,)</f>
        <v>314.601</v>
      </c>
      <c r="E7" s="103"/>
      <c r="F7" s="99">
        <f t="shared" si="0"/>
        <v>314.601</v>
      </c>
    </row>
    <row r="8" spans="1:6" ht="15.6" x14ac:dyDescent="0.3">
      <c r="A8" s="133">
        <v>5</v>
      </c>
      <c r="B8" s="102">
        <v>1</v>
      </c>
      <c r="C8" s="104">
        <v>2.0070000000000001</v>
      </c>
      <c r="D8" s="100">
        <f>VLOOKUP($C8,Лист5!$A$1:$B$104,2,)</f>
        <v>106.77449999999999</v>
      </c>
      <c r="E8" s="103"/>
      <c r="F8" s="99">
        <f t="shared" si="0"/>
        <v>106.77449999999999</v>
      </c>
    </row>
    <row r="9" spans="1:6" ht="15.6" x14ac:dyDescent="0.3">
      <c r="A9" s="133">
        <v>6</v>
      </c>
      <c r="B9" s="102">
        <v>1</v>
      </c>
      <c r="C9" s="104">
        <v>2.008</v>
      </c>
      <c r="D9" s="100">
        <f>VLOOKUP($C9,Лист5!$A$1:$B$104,2,)</f>
        <v>111.50999999999999</v>
      </c>
      <c r="E9" s="103"/>
      <c r="F9" s="99">
        <f t="shared" si="0"/>
        <v>111.50999999999999</v>
      </c>
    </row>
    <row r="10" spans="1:6" ht="15.6" x14ac:dyDescent="0.3">
      <c r="A10" s="133">
        <v>7</v>
      </c>
      <c r="B10" s="102">
        <v>1</v>
      </c>
      <c r="C10" s="104">
        <v>2.0089999999999999</v>
      </c>
      <c r="D10" s="100">
        <f>VLOOKUP($C10,Лист5!$A$1:$B$104,2,)</f>
        <v>106.77449999999999</v>
      </c>
      <c r="E10" s="103"/>
      <c r="F10" s="99">
        <f t="shared" si="0"/>
        <v>106.77449999999999</v>
      </c>
    </row>
    <row r="11" spans="1:6" ht="15.6" x14ac:dyDescent="0.3">
      <c r="A11" s="133">
        <v>8</v>
      </c>
      <c r="B11" s="102">
        <v>1</v>
      </c>
      <c r="C11" s="115">
        <v>2.0099999999999998</v>
      </c>
      <c r="D11" s="100">
        <f>VLOOKUP($C11,Лист5!$A$1:$B$104,2,)</f>
        <v>93.03</v>
      </c>
      <c r="E11" s="103"/>
      <c r="F11" s="99">
        <f t="shared" si="0"/>
        <v>93.03</v>
      </c>
    </row>
    <row r="12" spans="1:6" ht="15.6" x14ac:dyDescent="0.3">
      <c r="A12" s="133">
        <v>9</v>
      </c>
      <c r="B12" s="102">
        <v>1</v>
      </c>
      <c r="C12" s="104">
        <v>2.0110000000000001</v>
      </c>
      <c r="D12" s="100">
        <f>VLOOKUP($C12,Лист5!$A$1:$B$104,2,)</f>
        <v>106.63800000000001</v>
      </c>
      <c r="E12" s="103"/>
      <c r="F12" s="99">
        <f t="shared" si="0"/>
        <v>106.63800000000001</v>
      </c>
    </row>
    <row r="13" spans="1:6" ht="15.6" x14ac:dyDescent="0.3">
      <c r="A13" s="133">
        <v>10</v>
      </c>
      <c r="B13" s="102">
        <v>1</v>
      </c>
      <c r="C13" s="104">
        <v>2.012</v>
      </c>
      <c r="D13" s="100">
        <f>VLOOKUP($C13,Лист5!$A$1:$B$104,2,)</f>
        <v>234.72750000000002</v>
      </c>
      <c r="E13" s="103"/>
      <c r="F13" s="99">
        <f t="shared" si="0"/>
        <v>234.72750000000002</v>
      </c>
    </row>
    <row r="14" spans="1:6" ht="15.6" x14ac:dyDescent="0.3">
      <c r="A14" s="133">
        <v>11</v>
      </c>
      <c r="B14" s="102">
        <v>1</v>
      </c>
      <c r="C14" s="104">
        <v>2.0129999999999999</v>
      </c>
      <c r="D14" s="100">
        <f>VLOOKUP($C14,Лист5!$A$1:$B$104,2,)</f>
        <v>83.201999999999998</v>
      </c>
      <c r="E14" s="103"/>
      <c r="F14" s="99">
        <f t="shared" si="0"/>
        <v>83.201999999999998</v>
      </c>
    </row>
    <row r="15" spans="1:6" ht="15.6" x14ac:dyDescent="0.3">
      <c r="A15" s="133">
        <v>12</v>
      </c>
      <c r="B15" s="102">
        <v>4.0999999999999996</v>
      </c>
      <c r="C15" s="104">
        <v>2.0750000000000002</v>
      </c>
      <c r="D15" s="100">
        <f>VLOOKUP($C15,Лист5!$A$1:$B$104,2,)+19</f>
        <v>303.05650000000003</v>
      </c>
      <c r="E15" s="103"/>
      <c r="F15" s="99">
        <f t="shared" si="0"/>
        <v>303.05650000000003</v>
      </c>
    </row>
    <row r="16" spans="1:6" ht="15.6" x14ac:dyDescent="0.3">
      <c r="A16" s="133">
        <v>13</v>
      </c>
      <c r="B16" s="102">
        <v>4.0999999999999996</v>
      </c>
      <c r="C16" s="115">
        <v>2.08</v>
      </c>
      <c r="D16" s="100">
        <f>447.447/2+20</f>
        <v>243.7235</v>
      </c>
      <c r="E16" s="103"/>
      <c r="F16" s="99">
        <f t="shared" si="0"/>
        <v>243.7235</v>
      </c>
    </row>
    <row r="17" spans="1:6" ht="15.6" x14ac:dyDescent="0.3">
      <c r="A17" s="133">
        <v>14</v>
      </c>
      <c r="B17" s="102">
        <v>4.0999999999999996</v>
      </c>
      <c r="C17" s="104">
        <v>2.081</v>
      </c>
      <c r="D17" s="100">
        <f>VLOOKUP($C17,Лист5!$A$1:$B$104,2,)+210</f>
        <v>637.24</v>
      </c>
      <c r="E17" s="103"/>
      <c r="F17" s="99">
        <f t="shared" si="0"/>
        <v>637.24</v>
      </c>
    </row>
    <row r="18" spans="1:6" ht="15.6" x14ac:dyDescent="0.3">
      <c r="A18" s="133">
        <v>15</v>
      </c>
      <c r="B18" s="102">
        <v>4.0999999999999996</v>
      </c>
      <c r="C18" s="104">
        <v>2.0819999999999999</v>
      </c>
      <c r="D18" s="100">
        <f>447.447/2-30</f>
        <v>193.7235</v>
      </c>
      <c r="E18" s="103"/>
      <c r="F18" s="99">
        <f t="shared" si="0"/>
        <v>193.7235</v>
      </c>
    </row>
    <row r="19" spans="1:6" ht="15.6" x14ac:dyDescent="0.3">
      <c r="A19" s="133">
        <v>16</v>
      </c>
      <c r="B19" s="102">
        <v>4.0999999999999996</v>
      </c>
      <c r="C19" s="104">
        <v>2.085</v>
      </c>
      <c r="D19" s="100">
        <f>VLOOKUP($C19,Лист5!$A$1:$B$104,2,)+160</f>
        <v>479.92</v>
      </c>
      <c r="E19" s="103"/>
      <c r="F19" s="99">
        <f t="shared" si="0"/>
        <v>479.92</v>
      </c>
    </row>
    <row r="20" spans="1:6" ht="15.6" x14ac:dyDescent="0.3">
      <c r="A20" s="133">
        <v>17</v>
      </c>
      <c r="B20" s="102">
        <v>4.0999999999999996</v>
      </c>
      <c r="C20" s="104">
        <v>2.0880000000000001</v>
      </c>
      <c r="D20" s="100">
        <f>VLOOKUP($C20,Лист5!$A$1:$B$104,2,)+8</f>
        <v>61.171999999999997</v>
      </c>
      <c r="E20" s="103"/>
      <c r="F20" s="99">
        <f t="shared" si="0"/>
        <v>61.171999999999997</v>
      </c>
    </row>
    <row r="21" spans="1:6" ht="15.6" x14ac:dyDescent="0.3">
      <c r="A21" s="134">
        <v>18</v>
      </c>
      <c r="B21" s="102">
        <v>4.0999999999999996</v>
      </c>
      <c r="C21" s="115">
        <v>2.0840000000000001</v>
      </c>
      <c r="D21" s="117"/>
      <c r="E21" s="100">
        <f>VLOOKUP($C21,Лист5!$A$1:$B$104,2,)</f>
        <v>77.849999999999994</v>
      </c>
      <c r="F21" s="99">
        <f t="shared" si="0"/>
        <v>77.849999999999994</v>
      </c>
    </row>
    <row r="22" spans="1:6" ht="15.6" x14ac:dyDescent="0.3">
      <c r="A22" s="134">
        <v>19</v>
      </c>
      <c r="B22" s="102">
        <v>4.0999999999999996</v>
      </c>
      <c r="C22" s="115">
        <v>2.0870000000000002</v>
      </c>
      <c r="D22" s="117"/>
      <c r="E22" s="100">
        <f>VLOOKUP($C22,Лист5!$A$1:$B$104,2,)</f>
        <v>83.33</v>
      </c>
      <c r="F22" s="99">
        <f t="shared" si="0"/>
        <v>83.33</v>
      </c>
    </row>
    <row r="23" spans="1:6" ht="15.6" x14ac:dyDescent="0.3">
      <c r="A23" s="134">
        <v>20</v>
      </c>
      <c r="B23" s="102">
        <v>4.0999999999999996</v>
      </c>
      <c r="C23" s="115">
        <v>2.109</v>
      </c>
      <c r="D23" s="117"/>
      <c r="E23" s="100">
        <f>VLOOKUP($C23,Лист5!$A$1:$B$104,2,)</f>
        <v>105.714</v>
      </c>
      <c r="F23" s="99">
        <f t="shared" si="0"/>
        <v>105.714</v>
      </c>
    </row>
    <row r="24" spans="1:6" ht="15.6" x14ac:dyDescent="0.3">
      <c r="A24" s="134">
        <v>21</v>
      </c>
      <c r="B24" s="102">
        <v>4.0999999999999996</v>
      </c>
      <c r="C24" s="115">
        <v>2.1680000000000001</v>
      </c>
      <c r="D24" s="117"/>
      <c r="E24" s="100">
        <f>VLOOKUP($C24,Лист5!$A$1:$B$104,2,)</f>
        <v>42</v>
      </c>
      <c r="F24" s="99">
        <f t="shared" si="0"/>
        <v>42</v>
      </c>
    </row>
    <row r="25" spans="1:6" ht="15.6" x14ac:dyDescent="0.3">
      <c r="A25" s="133"/>
      <c r="B25" s="133"/>
      <c r="C25" s="133" t="s">
        <v>19</v>
      </c>
      <c r="D25" s="99">
        <f>SUM(D4:D24)</f>
        <v>3430.5099999999998</v>
      </c>
      <c r="E25" s="99">
        <f>SUM(E4:E24)</f>
        <v>308.89400000000001</v>
      </c>
      <c r="F25" s="99">
        <f>SUM(F4:F20)</f>
        <v>3430.5099999999998</v>
      </c>
    </row>
  </sheetData>
  <mergeCells count="1">
    <mergeCell ref="A1:F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G17"/>
  <sheetViews>
    <sheetView workbookViewId="0">
      <selection activeCell="D11" sqref="D4:D11"/>
    </sheetView>
  </sheetViews>
  <sheetFormatPr defaultRowHeight="14.4" x14ac:dyDescent="0.3"/>
  <cols>
    <col min="3" max="3" width="11.5546875" customWidth="1"/>
    <col min="4" max="7" width="10.5546875" customWidth="1"/>
  </cols>
  <sheetData>
    <row r="1" spans="1:7" ht="15.6" x14ac:dyDescent="0.3">
      <c r="A1" s="329" t="s">
        <v>2</v>
      </c>
      <c r="B1" s="329"/>
      <c r="C1" s="329"/>
      <c r="D1" s="329"/>
      <c r="E1" s="329"/>
      <c r="F1" s="329"/>
      <c r="G1" s="329"/>
    </row>
    <row r="2" spans="1:7" ht="15.6" x14ac:dyDescent="0.3">
      <c r="A2" s="133"/>
      <c r="B2" s="133"/>
      <c r="C2" s="94"/>
      <c r="D2" s="95" t="s">
        <v>149</v>
      </c>
      <c r="E2" s="95" t="s">
        <v>150</v>
      </c>
      <c r="F2" s="96" t="s">
        <v>151</v>
      </c>
      <c r="G2" s="80" t="s">
        <v>3</v>
      </c>
    </row>
    <row r="3" spans="1:7" ht="15.6" x14ac:dyDescent="0.3">
      <c r="A3" s="133" t="s">
        <v>0</v>
      </c>
      <c r="B3" s="133" t="s">
        <v>153</v>
      </c>
      <c r="C3" s="97" t="s">
        <v>5</v>
      </c>
      <c r="D3" s="98" t="s">
        <v>4</v>
      </c>
      <c r="E3" s="98" t="s">
        <v>4</v>
      </c>
      <c r="F3" s="98" t="s">
        <v>4</v>
      </c>
      <c r="G3" s="99" t="s">
        <v>4</v>
      </c>
    </row>
    <row r="4" spans="1:7" ht="15.6" x14ac:dyDescent="0.3">
      <c r="A4" s="133">
        <v>1</v>
      </c>
      <c r="B4" s="133">
        <v>1</v>
      </c>
      <c r="C4" s="115">
        <v>3.004</v>
      </c>
      <c r="D4" s="100">
        <f>VLOOKUP($C4,Лист5!$A$1:$B$104,2,)</f>
        <v>116.51</v>
      </c>
      <c r="E4" s="103"/>
      <c r="F4" s="103"/>
      <c r="G4" s="99">
        <f t="shared" ref="G4:G16" si="0">SUM(D4:F4)</f>
        <v>116.51</v>
      </c>
    </row>
    <row r="5" spans="1:7" ht="15.6" x14ac:dyDescent="0.3">
      <c r="A5" s="134">
        <v>2</v>
      </c>
      <c r="B5" s="133">
        <v>1</v>
      </c>
      <c r="C5" s="115">
        <v>3.008</v>
      </c>
      <c r="D5" s="100">
        <f>VLOOKUP($C5,Лист5!$A$1:$B$104,2,)</f>
        <v>102.57</v>
      </c>
      <c r="E5" s="103"/>
      <c r="F5" s="103"/>
      <c r="G5" s="99">
        <f t="shared" si="0"/>
        <v>102.57</v>
      </c>
    </row>
    <row r="6" spans="1:7" ht="15.6" x14ac:dyDescent="0.3">
      <c r="A6" s="134">
        <v>3</v>
      </c>
      <c r="B6" s="133">
        <v>1</v>
      </c>
      <c r="C6" s="115">
        <v>3.0089999999999999</v>
      </c>
      <c r="D6" s="100">
        <f>VLOOKUP($C6,Лист5!$A$1:$B$104,2,)</f>
        <v>104.69999999999999</v>
      </c>
      <c r="E6" s="103"/>
      <c r="F6" s="103"/>
      <c r="G6" s="99">
        <f t="shared" si="0"/>
        <v>104.69999999999999</v>
      </c>
    </row>
    <row r="7" spans="1:7" ht="15.6" x14ac:dyDescent="0.3">
      <c r="A7" s="134">
        <v>4</v>
      </c>
      <c r="B7" s="133">
        <v>1</v>
      </c>
      <c r="C7" s="115">
        <v>3.01</v>
      </c>
      <c r="D7" s="100">
        <f>VLOOKUP($C7,Лист5!$A$1:$B$104,2,)</f>
        <v>101.61</v>
      </c>
      <c r="E7" s="103"/>
      <c r="F7" s="103"/>
      <c r="G7" s="99">
        <f t="shared" si="0"/>
        <v>101.61</v>
      </c>
    </row>
    <row r="8" spans="1:7" ht="15.6" x14ac:dyDescent="0.3">
      <c r="A8" s="134">
        <v>5</v>
      </c>
      <c r="B8" s="133">
        <v>1</v>
      </c>
      <c r="C8" s="115">
        <v>3.0110000000000001</v>
      </c>
      <c r="D8" s="100">
        <f>VLOOKUP($C8,Лист5!$A$1:$B$104,2,)</f>
        <v>105.25</v>
      </c>
      <c r="E8" s="103"/>
      <c r="F8" s="103"/>
      <c r="G8" s="99">
        <f t="shared" si="0"/>
        <v>105.25</v>
      </c>
    </row>
    <row r="9" spans="1:7" ht="15.6" x14ac:dyDescent="0.3">
      <c r="A9" s="134">
        <v>6</v>
      </c>
      <c r="B9" s="133">
        <v>1</v>
      </c>
      <c r="C9" s="115">
        <v>3.012</v>
      </c>
      <c r="D9" s="100">
        <f>VLOOKUP($C9,Лист5!$A$1:$B$104,2,)</f>
        <v>105.33</v>
      </c>
      <c r="E9" s="103"/>
      <c r="F9" s="103"/>
      <c r="G9" s="99">
        <f t="shared" si="0"/>
        <v>105.33</v>
      </c>
    </row>
    <row r="10" spans="1:7" ht="15.6" x14ac:dyDescent="0.3">
      <c r="A10" s="134">
        <v>7</v>
      </c>
      <c r="B10" s="133">
        <v>1</v>
      </c>
      <c r="C10" s="115">
        <v>3.0129999999999999</v>
      </c>
      <c r="D10" s="100">
        <f>VLOOKUP($C10,Лист5!$A$1:$B$104,2,)</f>
        <v>101.95</v>
      </c>
      <c r="E10" s="103"/>
      <c r="F10" s="103"/>
      <c r="G10" s="99">
        <f t="shared" si="0"/>
        <v>101.95</v>
      </c>
    </row>
    <row r="11" spans="1:7" ht="15.6" x14ac:dyDescent="0.3">
      <c r="A11" s="134">
        <v>8</v>
      </c>
      <c r="B11" s="133">
        <v>1</v>
      </c>
      <c r="C11" s="115">
        <v>3.0139999999999998</v>
      </c>
      <c r="D11" s="100">
        <f>VLOOKUP($C11,Лист5!$A$1:$B$104,2,)</f>
        <v>221.42</v>
      </c>
      <c r="E11" s="103"/>
      <c r="F11" s="103"/>
      <c r="G11" s="99">
        <f t="shared" si="0"/>
        <v>221.42</v>
      </c>
    </row>
    <row r="12" spans="1:7" ht="15.6" x14ac:dyDescent="0.3">
      <c r="A12" s="134">
        <v>9</v>
      </c>
      <c r="B12" s="102">
        <v>4.0999999999999996</v>
      </c>
      <c r="C12" s="115">
        <v>3.0190000000000001</v>
      </c>
      <c r="D12" s="100">
        <f>VLOOKUP($C12,Лист5!$A$1:$B$104,2,)</f>
        <v>283.38</v>
      </c>
      <c r="E12" s="103"/>
      <c r="F12" s="103"/>
      <c r="G12" s="99">
        <f t="shared" si="0"/>
        <v>283.38</v>
      </c>
    </row>
    <row r="13" spans="1:7" ht="15.6" x14ac:dyDescent="0.3">
      <c r="A13" s="134">
        <v>10</v>
      </c>
      <c r="B13" s="102">
        <v>4.0999999999999996</v>
      </c>
      <c r="C13" s="115">
        <v>3.02</v>
      </c>
      <c r="D13" s="100">
        <f>VLOOKUP($C13,Лист5!$A$1:$B$104,2,)</f>
        <v>317.98</v>
      </c>
      <c r="E13" s="103"/>
      <c r="F13" s="103"/>
      <c r="G13" s="99">
        <f t="shared" si="0"/>
        <v>317.98</v>
      </c>
    </row>
    <row r="14" spans="1:7" ht="15.6" x14ac:dyDescent="0.3">
      <c r="A14" s="134">
        <v>11</v>
      </c>
      <c r="B14" s="102">
        <v>4.0999999999999996</v>
      </c>
      <c r="C14" s="104" t="s">
        <v>121</v>
      </c>
      <c r="D14" s="103"/>
      <c r="E14" s="100">
        <v>182.74</v>
      </c>
      <c r="F14" s="103"/>
      <c r="G14" s="99">
        <f t="shared" si="0"/>
        <v>182.74</v>
      </c>
    </row>
    <row r="15" spans="1:7" ht="15.6" x14ac:dyDescent="0.3">
      <c r="A15" s="134">
        <v>12</v>
      </c>
      <c r="B15" s="102">
        <v>4.0999999999999996</v>
      </c>
      <c r="C15" s="104">
        <v>3.0209999999999999</v>
      </c>
      <c r="D15" s="103"/>
      <c r="E15" s="103"/>
      <c r="F15" s="100">
        <f>VLOOKUP($C15,Лист5!$A$1:$B$104,2,)</f>
        <v>85.69</v>
      </c>
      <c r="G15" s="99">
        <f t="shared" si="0"/>
        <v>85.69</v>
      </c>
    </row>
    <row r="16" spans="1:7" ht="15.6" x14ac:dyDescent="0.3">
      <c r="A16" s="134">
        <v>13</v>
      </c>
      <c r="B16" s="102">
        <v>4.0999999999999996</v>
      </c>
      <c r="C16" s="104">
        <v>3.0939999999999999</v>
      </c>
      <c r="D16" s="103"/>
      <c r="E16" s="103"/>
      <c r="F16" s="100">
        <f>VLOOKUP($C16,Лист5!$A$1:$B$104,2,)</f>
        <v>62.410000000000004</v>
      </c>
      <c r="G16" s="99">
        <f t="shared" si="0"/>
        <v>62.410000000000004</v>
      </c>
    </row>
    <row r="17" spans="1:7" ht="15.6" x14ac:dyDescent="0.3">
      <c r="A17" s="133"/>
      <c r="B17" s="133"/>
      <c r="C17" s="133" t="s">
        <v>19</v>
      </c>
      <c r="D17" s="99">
        <f>SUM(D4:D16)</f>
        <v>1560.7</v>
      </c>
      <c r="E17" s="99">
        <f>SUM(E4:E16)</f>
        <v>182.74</v>
      </c>
      <c r="F17" s="99">
        <f>SUM(F4:F16)</f>
        <v>148.1</v>
      </c>
      <c r="G17" s="99">
        <f>SUM(G4:G16)</f>
        <v>1891.5400000000002</v>
      </c>
    </row>
  </sheetData>
  <mergeCells count="1">
    <mergeCell ref="A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H5" sqref="H5:H15"/>
    </sheetView>
  </sheetViews>
  <sheetFormatPr defaultRowHeight="14.4" x14ac:dyDescent="0.3"/>
  <cols>
    <col min="1" max="1" width="7.21875" style="140" customWidth="1"/>
    <col min="2" max="2" width="7" style="140" customWidth="1"/>
    <col min="3" max="3" width="9.88671875" style="140" customWidth="1"/>
    <col min="4" max="4" width="5.5546875" style="140" customWidth="1"/>
    <col min="5" max="5" width="7.109375" style="140" customWidth="1"/>
    <col min="6" max="6" width="7.6640625" style="140" customWidth="1"/>
    <col min="7" max="7" width="10.77734375" style="140" customWidth="1"/>
    <col min="8" max="8" width="11.6640625" style="140" customWidth="1"/>
    <col min="9" max="10" width="8.21875" style="140" customWidth="1"/>
    <col min="11" max="11" width="9.88671875" style="140" customWidth="1"/>
    <col min="12" max="16384" width="8.88671875" style="140"/>
  </cols>
  <sheetData>
    <row r="1" spans="1:11" ht="15.6" x14ac:dyDescent="0.3">
      <c r="A1" s="277" t="s">
        <v>316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</row>
    <row r="2" spans="1:11" s="153" customFormat="1" ht="31.2" x14ac:dyDescent="0.3">
      <c r="A2" s="141" t="s">
        <v>0</v>
      </c>
      <c r="B2" s="290" t="s">
        <v>174</v>
      </c>
      <c r="C2" s="279"/>
      <c r="D2" s="279"/>
      <c r="E2" s="279"/>
      <c r="F2" s="279"/>
      <c r="G2" s="280"/>
      <c r="H2" s="294" t="s">
        <v>175</v>
      </c>
      <c r="I2" s="295"/>
      <c r="J2" s="142" t="s">
        <v>15</v>
      </c>
      <c r="K2" s="152" t="s">
        <v>8</v>
      </c>
    </row>
    <row r="3" spans="1:11" ht="61.8" customHeight="1" x14ac:dyDescent="0.3">
      <c r="A3" s="143">
        <v>1</v>
      </c>
      <c r="B3" s="291" t="s">
        <v>205</v>
      </c>
      <c r="C3" s="258"/>
      <c r="D3" s="258"/>
      <c r="E3" s="258"/>
      <c r="F3" s="258"/>
      <c r="G3" s="281"/>
      <c r="H3" s="326" t="s">
        <v>186</v>
      </c>
      <c r="I3" s="327"/>
      <c r="J3" s="143" t="s">
        <v>82</v>
      </c>
      <c r="K3" s="144">
        <f>C13+G15+K13</f>
        <v>2493.81</v>
      </c>
    </row>
    <row r="4" spans="1:11" ht="15.6" x14ac:dyDescent="0.3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</row>
    <row r="5" spans="1:11" ht="30.6" customHeight="1" x14ac:dyDescent="0.3">
      <c r="A5" s="145" t="s">
        <v>176</v>
      </c>
      <c r="B5" s="145" t="s">
        <v>180</v>
      </c>
      <c r="C5" s="145" t="s">
        <v>177</v>
      </c>
      <c r="D5" s="325"/>
      <c r="E5" s="145" t="s">
        <v>176</v>
      </c>
      <c r="F5" s="145" t="s">
        <v>180</v>
      </c>
      <c r="G5" s="145" t="s">
        <v>177</v>
      </c>
      <c r="H5" s="325"/>
      <c r="I5" s="145" t="s">
        <v>176</v>
      </c>
      <c r="J5" s="145" t="s">
        <v>180</v>
      </c>
      <c r="K5" s="145" t="s">
        <v>177</v>
      </c>
    </row>
    <row r="6" spans="1:11" ht="15.6" customHeight="1" x14ac:dyDescent="0.3">
      <c r="A6" s="146" t="s">
        <v>181</v>
      </c>
      <c r="B6" s="146" t="s">
        <v>149</v>
      </c>
      <c r="C6" s="149">
        <v>125.55</v>
      </c>
      <c r="D6" s="325"/>
      <c r="E6" s="146" t="s">
        <v>21</v>
      </c>
      <c r="F6" s="146" t="s">
        <v>149</v>
      </c>
      <c r="G6" s="149">
        <v>118.18</v>
      </c>
      <c r="H6" s="325"/>
      <c r="I6" s="146" t="s">
        <v>93</v>
      </c>
      <c r="J6" s="146" t="s">
        <v>149</v>
      </c>
      <c r="K6" s="149">
        <v>116.51</v>
      </c>
    </row>
    <row r="7" spans="1:11" ht="15.6" customHeight="1" x14ac:dyDescent="0.3">
      <c r="A7" s="147" t="s">
        <v>182</v>
      </c>
      <c r="B7" s="147" t="s">
        <v>149</v>
      </c>
      <c r="C7" s="150">
        <v>118.27</v>
      </c>
      <c r="D7" s="325"/>
      <c r="E7" s="147" t="s">
        <v>22</v>
      </c>
      <c r="F7" s="147" t="s">
        <v>149</v>
      </c>
      <c r="G7" s="150">
        <v>113.74</v>
      </c>
      <c r="H7" s="325"/>
      <c r="I7" s="147" t="s">
        <v>96</v>
      </c>
      <c r="J7" s="147" t="s">
        <v>149</v>
      </c>
      <c r="K7" s="150">
        <v>102.57</v>
      </c>
    </row>
    <row r="8" spans="1:11" ht="15.6" customHeight="1" x14ac:dyDescent="0.3">
      <c r="A8" s="146" t="s">
        <v>183</v>
      </c>
      <c r="B8" s="146" t="s">
        <v>149</v>
      </c>
      <c r="C8" s="149">
        <v>102.42</v>
      </c>
      <c r="D8" s="325"/>
      <c r="E8" s="146" t="s">
        <v>23</v>
      </c>
      <c r="F8" s="146" t="s">
        <v>149</v>
      </c>
      <c r="G8" s="149">
        <v>122.5</v>
      </c>
      <c r="H8" s="325"/>
      <c r="I8" s="146" t="s">
        <v>97</v>
      </c>
      <c r="J8" s="146" t="s">
        <v>149</v>
      </c>
      <c r="K8" s="149">
        <v>104.7</v>
      </c>
    </row>
    <row r="9" spans="1:11" ht="15.6" customHeight="1" x14ac:dyDescent="0.3">
      <c r="A9" s="147" t="s">
        <v>184</v>
      </c>
      <c r="B9" s="147" t="s">
        <v>149</v>
      </c>
      <c r="C9" s="150">
        <v>101.91</v>
      </c>
      <c r="D9" s="325"/>
      <c r="E9" s="147" t="s">
        <v>26</v>
      </c>
      <c r="F9" s="147" t="s">
        <v>149</v>
      </c>
      <c r="G9" s="150">
        <v>106.77</v>
      </c>
      <c r="H9" s="325"/>
      <c r="I9" s="147" t="s">
        <v>98</v>
      </c>
      <c r="J9" s="147" t="s">
        <v>149</v>
      </c>
      <c r="K9" s="150">
        <v>101.61</v>
      </c>
    </row>
    <row r="10" spans="1:11" ht="15.6" customHeight="1" x14ac:dyDescent="0.3">
      <c r="A10" s="146" t="s">
        <v>178</v>
      </c>
      <c r="B10" s="146" t="s">
        <v>149</v>
      </c>
      <c r="C10" s="149">
        <v>98.2</v>
      </c>
      <c r="D10" s="325"/>
      <c r="E10" s="146" t="s">
        <v>27</v>
      </c>
      <c r="F10" s="146" t="s">
        <v>149</v>
      </c>
      <c r="G10" s="149">
        <v>111.51</v>
      </c>
      <c r="H10" s="325"/>
      <c r="I10" s="146" t="s">
        <v>99</v>
      </c>
      <c r="J10" s="146" t="s">
        <v>149</v>
      </c>
      <c r="K10" s="149">
        <v>105.25</v>
      </c>
    </row>
    <row r="11" spans="1:11" ht="15.6" customHeight="1" x14ac:dyDescent="0.3">
      <c r="A11" s="147" t="s">
        <v>185</v>
      </c>
      <c r="B11" s="147" t="s">
        <v>149</v>
      </c>
      <c r="C11" s="150">
        <v>94.76</v>
      </c>
      <c r="D11" s="325"/>
      <c r="E11" s="147" t="s">
        <v>28</v>
      </c>
      <c r="F11" s="147" t="s">
        <v>149</v>
      </c>
      <c r="G11" s="150">
        <v>106.77</v>
      </c>
      <c r="H11" s="325"/>
      <c r="I11" s="147" t="s">
        <v>100</v>
      </c>
      <c r="J11" s="147" t="s">
        <v>149</v>
      </c>
      <c r="K11" s="150">
        <v>105.33</v>
      </c>
    </row>
    <row r="12" spans="1:11" ht="15.6" customHeight="1" x14ac:dyDescent="0.3">
      <c r="A12" s="146" t="s">
        <v>179</v>
      </c>
      <c r="B12" s="146" t="s">
        <v>149</v>
      </c>
      <c r="C12" s="149">
        <v>152.44</v>
      </c>
      <c r="D12" s="325"/>
      <c r="E12" s="146" t="s">
        <v>29</v>
      </c>
      <c r="F12" s="146" t="s">
        <v>149</v>
      </c>
      <c r="G12" s="149">
        <v>93.03</v>
      </c>
      <c r="H12" s="325"/>
      <c r="I12" s="146" t="s">
        <v>101</v>
      </c>
      <c r="J12" s="146" t="s">
        <v>149</v>
      </c>
      <c r="K12" s="149">
        <v>101.95</v>
      </c>
    </row>
    <row r="13" spans="1:11" ht="15.6" customHeight="1" x14ac:dyDescent="0.3">
      <c r="B13" s="148" t="s">
        <v>164</v>
      </c>
      <c r="C13" s="151">
        <f>SUM(C6:C12)</f>
        <v>793.55</v>
      </c>
      <c r="D13" s="325"/>
      <c r="E13" s="147" t="s">
        <v>30</v>
      </c>
      <c r="F13" s="147" t="s">
        <v>149</v>
      </c>
      <c r="G13" s="150">
        <v>106.64</v>
      </c>
      <c r="H13" s="325"/>
      <c r="J13" s="148" t="s">
        <v>164</v>
      </c>
      <c r="K13" s="151">
        <f>SUM(K6:K12)</f>
        <v>737.92000000000007</v>
      </c>
    </row>
    <row r="14" spans="1:11" ht="15.6" customHeight="1" x14ac:dyDescent="0.3">
      <c r="A14" s="261"/>
      <c r="B14" s="261"/>
      <c r="C14" s="261"/>
      <c r="D14" s="325"/>
      <c r="E14" s="146" t="s">
        <v>32</v>
      </c>
      <c r="F14" s="146" t="s">
        <v>149</v>
      </c>
      <c r="G14" s="149">
        <v>83.2</v>
      </c>
      <c r="H14" s="325"/>
      <c r="I14" s="325"/>
      <c r="J14" s="325"/>
      <c r="K14" s="325"/>
    </row>
    <row r="15" spans="1:11" ht="15.6" customHeight="1" x14ac:dyDescent="0.3">
      <c r="A15" s="261"/>
      <c r="B15" s="261"/>
      <c r="C15" s="261"/>
      <c r="D15" s="325"/>
      <c r="F15" s="148" t="s">
        <v>164</v>
      </c>
      <c r="G15" s="151">
        <f>SUM(G6:G14)</f>
        <v>962.34</v>
      </c>
      <c r="H15" s="325"/>
      <c r="I15" s="325"/>
      <c r="J15" s="325"/>
      <c r="K15" s="325"/>
    </row>
  </sheetData>
  <mergeCells count="10">
    <mergeCell ref="A1:K1"/>
    <mergeCell ref="H5:H15"/>
    <mergeCell ref="D5:D15"/>
    <mergeCell ref="A14:C15"/>
    <mergeCell ref="I14:K15"/>
    <mergeCell ref="B2:G2"/>
    <mergeCell ref="H2:I2"/>
    <mergeCell ref="B3:G3"/>
    <mergeCell ref="H3:I3"/>
    <mergeCell ref="A4:K4"/>
  </mergeCells>
  <pageMargins left="0.7" right="0.7" top="0.75" bottom="0.75" header="0.3" footer="0.3"/>
  <pageSetup paperSize="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topLeftCell="A45" workbookViewId="0">
      <selection activeCell="B87" sqref="B87"/>
    </sheetView>
  </sheetViews>
  <sheetFormatPr defaultRowHeight="14.4" x14ac:dyDescent="0.3"/>
  <sheetData>
    <row r="1" spans="1:2" x14ac:dyDescent="0.3">
      <c r="A1" s="116">
        <v>2.0009999999999999</v>
      </c>
      <c r="B1" s="25">
        <v>118.17750000000001</v>
      </c>
    </row>
    <row r="2" spans="1:2" x14ac:dyDescent="0.3">
      <c r="A2" s="116">
        <v>2.0019999999999998</v>
      </c>
      <c r="B2" s="25">
        <v>113.73599999999999</v>
      </c>
    </row>
    <row r="3" spans="1:2" x14ac:dyDescent="0.3">
      <c r="A3" s="116">
        <v>2.0030000000000001</v>
      </c>
      <c r="B3" s="25">
        <v>122.50349999999997</v>
      </c>
    </row>
    <row r="4" spans="1:2" x14ac:dyDescent="0.3">
      <c r="A4" s="116">
        <v>2.004</v>
      </c>
      <c r="B4" s="25">
        <v>314.601</v>
      </c>
    </row>
    <row r="5" spans="1:2" x14ac:dyDescent="0.3">
      <c r="A5" s="116">
        <v>2.0049999999999999</v>
      </c>
      <c r="B5" s="25">
        <v>29.631</v>
      </c>
    </row>
    <row r="6" spans="1:2" x14ac:dyDescent="0.3">
      <c r="A6" s="116">
        <v>2.0070000000000001</v>
      </c>
      <c r="B6" s="25">
        <v>106.77449999999999</v>
      </c>
    </row>
    <row r="7" spans="1:2" x14ac:dyDescent="0.3">
      <c r="A7" s="116">
        <v>2.008</v>
      </c>
      <c r="B7" s="25">
        <v>111.50999999999999</v>
      </c>
    </row>
    <row r="8" spans="1:2" x14ac:dyDescent="0.3">
      <c r="A8" s="116">
        <v>2.0089999999999999</v>
      </c>
      <c r="B8" s="25">
        <v>106.77449999999999</v>
      </c>
    </row>
    <row r="9" spans="1:2" x14ac:dyDescent="0.3">
      <c r="A9" s="116">
        <v>2.0099999999999998</v>
      </c>
      <c r="B9" s="25">
        <v>93.03</v>
      </c>
    </row>
    <row r="10" spans="1:2" x14ac:dyDescent="0.3">
      <c r="A10" s="116">
        <v>2.0110000000000001</v>
      </c>
      <c r="B10" s="25">
        <v>106.63800000000001</v>
      </c>
    </row>
    <row r="11" spans="1:2" x14ac:dyDescent="0.3">
      <c r="A11" s="116">
        <v>2.012</v>
      </c>
      <c r="B11" s="25">
        <v>234.72750000000002</v>
      </c>
    </row>
    <row r="12" spans="1:2" x14ac:dyDescent="0.3">
      <c r="A12" s="116">
        <v>2.0129999999999999</v>
      </c>
      <c r="B12" s="25">
        <v>83.201999999999998</v>
      </c>
    </row>
    <row r="13" spans="1:2" x14ac:dyDescent="0.3">
      <c r="A13" s="116">
        <v>2.0139999999999998</v>
      </c>
      <c r="B13" s="25">
        <v>69.489999999999995</v>
      </c>
    </row>
    <row r="14" spans="1:2" x14ac:dyDescent="0.3">
      <c r="A14" s="116">
        <v>2.0150000000000001</v>
      </c>
      <c r="B14" s="25">
        <v>87.929999999999993</v>
      </c>
    </row>
    <row r="15" spans="1:2" x14ac:dyDescent="0.3">
      <c r="A15" s="116">
        <v>2.016</v>
      </c>
      <c r="B15" s="25">
        <v>33.979999999999997</v>
      </c>
    </row>
    <row r="16" spans="1:2" x14ac:dyDescent="0.3">
      <c r="A16" s="116">
        <v>2.0169999999999999</v>
      </c>
      <c r="B16" s="25">
        <v>16.399999999999999</v>
      </c>
    </row>
    <row r="17" spans="1:2" x14ac:dyDescent="0.3">
      <c r="A17" s="116">
        <v>2.1619999999999999</v>
      </c>
      <c r="B17" s="25">
        <v>36.46</v>
      </c>
    </row>
    <row r="18" spans="1:2" x14ac:dyDescent="0.3">
      <c r="A18" s="116">
        <v>2.0750000000000002</v>
      </c>
      <c r="B18" s="25">
        <v>284.05650000000003</v>
      </c>
    </row>
    <row r="19" spans="1:2" x14ac:dyDescent="0.3">
      <c r="A19" s="116">
        <v>2.08</v>
      </c>
      <c r="B19" s="25">
        <v>447.447</v>
      </c>
    </row>
    <row r="20" spans="1:2" x14ac:dyDescent="0.3">
      <c r="A20" s="116">
        <v>2.0880000000000001</v>
      </c>
      <c r="B20" s="25">
        <v>53.171999999999997</v>
      </c>
    </row>
    <row r="21" spans="1:2" x14ac:dyDescent="0.3">
      <c r="A21" s="116">
        <v>2.089</v>
      </c>
      <c r="B21" s="25">
        <v>29.16</v>
      </c>
    </row>
    <row r="22" spans="1:2" x14ac:dyDescent="0.3">
      <c r="A22" s="116">
        <v>2.09</v>
      </c>
      <c r="B22" s="25">
        <v>35.47</v>
      </c>
    </row>
    <row r="23" spans="1:2" x14ac:dyDescent="0.3">
      <c r="A23" s="116">
        <v>2.0910000000000002</v>
      </c>
      <c r="B23" s="25">
        <v>48.34</v>
      </c>
    </row>
    <row r="24" spans="1:2" x14ac:dyDescent="0.3">
      <c r="A24" s="116">
        <v>2.0939999999999999</v>
      </c>
      <c r="B24" s="25">
        <v>46.158000000000001</v>
      </c>
    </row>
    <row r="25" spans="1:2" x14ac:dyDescent="0.3">
      <c r="A25" s="116">
        <v>2.0950000000000002</v>
      </c>
      <c r="B25" s="25">
        <v>35.200000000000003</v>
      </c>
    </row>
    <row r="26" spans="1:2" x14ac:dyDescent="0.3">
      <c r="A26" s="116">
        <v>2.0960000000000001</v>
      </c>
      <c r="B26" s="25">
        <v>63.16</v>
      </c>
    </row>
    <row r="27" spans="1:2" x14ac:dyDescent="0.3">
      <c r="A27" s="116">
        <v>2.097</v>
      </c>
      <c r="B27" s="25">
        <v>13.12</v>
      </c>
    </row>
    <row r="28" spans="1:2" x14ac:dyDescent="0.3">
      <c r="A28" s="116">
        <v>2.0979999999999999</v>
      </c>
      <c r="B28" s="25">
        <v>12.8</v>
      </c>
    </row>
    <row r="29" spans="1:2" x14ac:dyDescent="0.3">
      <c r="A29" s="116">
        <v>2.0990000000000002</v>
      </c>
      <c r="B29" s="25">
        <v>25.725000000000005</v>
      </c>
    </row>
    <row r="30" spans="1:2" x14ac:dyDescent="0.3">
      <c r="A30" s="116">
        <v>2.1</v>
      </c>
      <c r="B30" s="25">
        <v>44.08</v>
      </c>
    </row>
    <row r="31" spans="1:2" x14ac:dyDescent="0.3">
      <c r="A31" s="116">
        <v>2.101</v>
      </c>
      <c r="B31" s="25">
        <v>33.04</v>
      </c>
    </row>
    <row r="32" spans="1:2" x14ac:dyDescent="0.3">
      <c r="A32" s="116">
        <v>2.1019999999999999</v>
      </c>
      <c r="B32" s="25">
        <v>32.256</v>
      </c>
    </row>
    <row r="33" spans="1:2" x14ac:dyDescent="0.3">
      <c r="A33" s="116">
        <v>2.1030000000000002</v>
      </c>
      <c r="B33" s="25">
        <v>57.455999999999989</v>
      </c>
    </row>
    <row r="34" spans="1:2" x14ac:dyDescent="0.3">
      <c r="A34" s="116">
        <v>2.1040000000000001</v>
      </c>
      <c r="B34" s="25">
        <v>15.6</v>
      </c>
    </row>
    <row r="35" spans="1:2" x14ac:dyDescent="0.3">
      <c r="A35" s="116">
        <v>2.105</v>
      </c>
      <c r="B35" s="25">
        <v>42.99</v>
      </c>
    </row>
    <row r="36" spans="1:2" x14ac:dyDescent="0.3">
      <c r="A36" s="116">
        <v>2.1059999999999999</v>
      </c>
      <c r="B36" s="25">
        <v>33.390000000000008</v>
      </c>
    </row>
    <row r="37" spans="1:2" x14ac:dyDescent="0.3">
      <c r="A37" s="116">
        <v>2.1070000000000002</v>
      </c>
      <c r="B37" s="25">
        <v>22.84</v>
      </c>
    </row>
    <row r="38" spans="1:2" x14ac:dyDescent="0.3">
      <c r="A38" s="116">
        <v>2.1080000000000001</v>
      </c>
      <c r="B38" s="25">
        <v>41.6</v>
      </c>
    </row>
    <row r="39" spans="1:2" x14ac:dyDescent="0.3">
      <c r="A39" s="116">
        <v>2.109</v>
      </c>
      <c r="B39" s="25">
        <v>105.714</v>
      </c>
    </row>
    <row r="40" spans="1:2" x14ac:dyDescent="0.3">
      <c r="A40" s="116">
        <v>2.1680000000000001</v>
      </c>
      <c r="B40" s="25">
        <v>42</v>
      </c>
    </row>
    <row r="41" spans="1:2" x14ac:dyDescent="0.3">
      <c r="A41" s="122" t="s">
        <v>154</v>
      </c>
      <c r="B41" s="124">
        <v>284.86</v>
      </c>
    </row>
    <row r="42" spans="1:2" x14ac:dyDescent="0.3">
      <c r="A42" s="123">
        <v>1.0269999999999999</v>
      </c>
      <c r="B42" s="125">
        <v>110.55</v>
      </c>
    </row>
    <row r="43" spans="1:2" x14ac:dyDescent="0.3">
      <c r="A43" s="127">
        <v>1.028</v>
      </c>
      <c r="B43" s="125">
        <v>103.27</v>
      </c>
    </row>
    <row r="44" spans="1:2" x14ac:dyDescent="0.3">
      <c r="A44" s="123">
        <v>1.0289999999999999</v>
      </c>
      <c r="B44" s="125">
        <v>92.42</v>
      </c>
    </row>
    <row r="45" spans="1:2" x14ac:dyDescent="0.3">
      <c r="A45" s="127">
        <v>1.03</v>
      </c>
      <c r="B45" s="125">
        <v>94.91</v>
      </c>
    </row>
    <row r="46" spans="1:2" x14ac:dyDescent="0.3">
      <c r="A46" s="123">
        <v>1.0309999999999999</v>
      </c>
      <c r="B46" s="125">
        <v>90.2</v>
      </c>
    </row>
    <row r="47" spans="1:2" x14ac:dyDescent="0.3">
      <c r="A47" s="127">
        <v>1.032</v>
      </c>
      <c r="B47" s="125">
        <v>87.76</v>
      </c>
    </row>
    <row r="48" spans="1:2" x14ac:dyDescent="0.3">
      <c r="A48" s="127">
        <v>1.0329999999999999</v>
      </c>
      <c r="B48" s="125">
        <v>142.44</v>
      </c>
    </row>
    <row r="49" spans="1:2" x14ac:dyDescent="0.3">
      <c r="A49" s="123">
        <v>1.034</v>
      </c>
      <c r="B49" s="125">
        <v>76.23</v>
      </c>
    </row>
    <row r="50" spans="1:2" x14ac:dyDescent="0.3">
      <c r="A50" s="123" t="s">
        <v>168</v>
      </c>
      <c r="B50" s="125">
        <v>40.76</v>
      </c>
    </row>
    <row r="51" spans="1:2" x14ac:dyDescent="0.3">
      <c r="A51" s="127">
        <v>1.036</v>
      </c>
      <c r="B51" s="125">
        <v>14.15</v>
      </c>
    </row>
    <row r="52" spans="1:2" x14ac:dyDescent="0.3">
      <c r="A52" s="123">
        <v>1.038</v>
      </c>
      <c r="B52" s="125">
        <v>36.69</v>
      </c>
    </row>
    <row r="53" spans="1:2" x14ac:dyDescent="0.3">
      <c r="A53" s="127">
        <v>1.0389999999999999</v>
      </c>
      <c r="B53" s="125">
        <v>166.2</v>
      </c>
    </row>
    <row r="54" spans="1:2" x14ac:dyDescent="0.3">
      <c r="A54" s="123" t="s">
        <v>169</v>
      </c>
      <c r="B54" s="125">
        <v>260.64999999999998</v>
      </c>
    </row>
    <row r="55" spans="1:2" x14ac:dyDescent="0.3">
      <c r="A55" s="123" t="s">
        <v>170</v>
      </c>
      <c r="B55" s="125">
        <v>372.12</v>
      </c>
    </row>
    <row r="56" spans="1:2" x14ac:dyDescent="0.3">
      <c r="A56" s="127">
        <v>1.048</v>
      </c>
      <c r="B56" s="125">
        <v>75.8</v>
      </c>
    </row>
    <row r="57" spans="1:2" x14ac:dyDescent="0.3">
      <c r="A57" s="127">
        <v>1.0489999999999999</v>
      </c>
      <c r="B57" s="125">
        <v>152.54</v>
      </c>
    </row>
    <row r="58" spans="1:2" ht="15" thickBot="1" x14ac:dyDescent="0.35">
      <c r="A58" s="128">
        <v>1.0529999999999999</v>
      </c>
      <c r="B58" s="126">
        <v>405.22</v>
      </c>
    </row>
    <row r="59" spans="1:2" x14ac:dyDescent="0.3">
      <c r="A59" s="120"/>
      <c r="B59" s="121"/>
    </row>
    <row r="60" spans="1:2" x14ac:dyDescent="0.3">
      <c r="A60" s="120"/>
      <c r="B60" s="121"/>
    </row>
    <row r="61" spans="1:2" x14ac:dyDescent="0.3">
      <c r="A61" s="120"/>
      <c r="B61" s="121"/>
    </row>
    <row r="62" spans="1:2" x14ac:dyDescent="0.3">
      <c r="A62" s="120"/>
      <c r="B62" s="121"/>
    </row>
    <row r="63" spans="1:2" x14ac:dyDescent="0.3">
      <c r="A63" s="120"/>
      <c r="B63" s="121"/>
    </row>
    <row r="64" spans="1:2" x14ac:dyDescent="0.3">
      <c r="A64" s="120"/>
      <c r="B64" s="121"/>
    </row>
    <row r="65" spans="1:2" x14ac:dyDescent="0.3">
      <c r="A65" s="118">
        <v>3.0009999999999999</v>
      </c>
      <c r="B65">
        <v>168.78</v>
      </c>
    </row>
    <row r="66" spans="1:2" x14ac:dyDescent="0.3">
      <c r="A66" s="118">
        <v>3.0019999999999998</v>
      </c>
      <c r="B66">
        <v>105.58</v>
      </c>
    </row>
    <row r="67" spans="1:2" x14ac:dyDescent="0.3">
      <c r="A67" s="118">
        <v>3.0030000000000001</v>
      </c>
      <c r="B67">
        <v>105.79</v>
      </c>
    </row>
    <row r="68" spans="1:2" x14ac:dyDescent="0.3">
      <c r="A68" s="118">
        <v>3.004</v>
      </c>
      <c r="B68">
        <v>116.51</v>
      </c>
    </row>
    <row r="69" spans="1:2" x14ac:dyDescent="0.3">
      <c r="A69" s="118">
        <v>3.0049999999999999</v>
      </c>
      <c r="B69">
        <v>402.53</v>
      </c>
    </row>
    <row r="70" spans="1:2" x14ac:dyDescent="0.3">
      <c r="A70" s="118">
        <v>3.0059999999999998</v>
      </c>
      <c r="B70">
        <v>48.730000000000004</v>
      </c>
    </row>
    <row r="71" spans="1:2" x14ac:dyDescent="0.3">
      <c r="A71" s="118">
        <v>3.008</v>
      </c>
      <c r="B71">
        <v>102.57</v>
      </c>
    </row>
    <row r="72" spans="1:2" x14ac:dyDescent="0.3">
      <c r="A72" s="118">
        <v>3.0089999999999999</v>
      </c>
      <c r="B72">
        <v>104.69999999999999</v>
      </c>
    </row>
    <row r="73" spans="1:2" x14ac:dyDescent="0.3">
      <c r="A73" s="118">
        <v>3.01</v>
      </c>
      <c r="B73">
        <v>101.61</v>
      </c>
    </row>
    <row r="74" spans="1:2" x14ac:dyDescent="0.3">
      <c r="A74" s="118">
        <v>3.0110000000000001</v>
      </c>
      <c r="B74">
        <v>105.25</v>
      </c>
    </row>
    <row r="75" spans="1:2" x14ac:dyDescent="0.3">
      <c r="A75" s="118">
        <v>3.012</v>
      </c>
      <c r="B75">
        <v>105.33</v>
      </c>
    </row>
    <row r="76" spans="1:2" x14ac:dyDescent="0.3">
      <c r="A76" s="118">
        <v>3.0129999999999999</v>
      </c>
      <c r="B76">
        <v>101.95</v>
      </c>
    </row>
    <row r="77" spans="1:2" x14ac:dyDescent="0.3">
      <c r="A77" s="118">
        <v>3.0139999999999998</v>
      </c>
      <c r="B77">
        <v>221.42</v>
      </c>
    </row>
    <row r="78" spans="1:2" x14ac:dyDescent="0.3">
      <c r="A78" s="118">
        <v>3.0150000000000001</v>
      </c>
      <c r="B78">
        <v>86.309999999999988</v>
      </c>
    </row>
    <row r="79" spans="1:2" x14ac:dyDescent="0.3">
      <c r="A79" s="118">
        <v>3.016</v>
      </c>
      <c r="B79">
        <v>113.91</v>
      </c>
    </row>
    <row r="80" spans="1:2" x14ac:dyDescent="0.3">
      <c r="A80" s="118">
        <v>3.0169999999999999</v>
      </c>
      <c r="B80">
        <v>36.11</v>
      </c>
    </row>
    <row r="81" spans="1:2" x14ac:dyDescent="0.3">
      <c r="A81" s="118">
        <v>3.0179999999999998</v>
      </c>
      <c r="B81">
        <v>25.16</v>
      </c>
    </row>
    <row r="82" spans="1:2" x14ac:dyDescent="0.3">
      <c r="A82" s="118">
        <v>3.0190000000000001</v>
      </c>
      <c r="B82">
        <v>283.38</v>
      </c>
    </row>
    <row r="83" spans="1:2" x14ac:dyDescent="0.3">
      <c r="A83" s="118">
        <v>3.02</v>
      </c>
      <c r="B83">
        <v>317.98</v>
      </c>
    </row>
    <row r="84" spans="1:2" x14ac:dyDescent="0.3">
      <c r="A84" s="118">
        <v>3.0209999999999999</v>
      </c>
      <c r="B84">
        <v>85.69</v>
      </c>
    </row>
    <row r="85" spans="1:2" x14ac:dyDescent="0.3">
      <c r="A85" t="s">
        <v>121</v>
      </c>
      <c r="B85">
        <v>165.39</v>
      </c>
    </row>
    <row r="86" spans="1:2" x14ac:dyDescent="0.3">
      <c r="A86" s="118">
        <v>3.0920000000000001</v>
      </c>
      <c r="B86">
        <v>38.590000000000003</v>
      </c>
    </row>
    <row r="87" spans="1:2" x14ac:dyDescent="0.3">
      <c r="A87" s="118">
        <v>3.0939999999999999</v>
      </c>
      <c r="B87">
        <v>62.410000000000004</v>
      </c>
    </row>
    <row r="88" spans="1:2" x14ac:dyDescent="0.3">
      <c r="A88" s="118">
        <v>1.034</v>
      </c>
      <c r="B88">
        <v>75.790000000000006</v>
      </c>
    </row>
    <row r="89" spans="1:2" x14ac:dyDescent="0.3">
      <c r="A89" s="118">
        <v>1.0349999999999999</v>
      </c>
      <c r="B89">
        <v>93.93</v>
      </c>
    </row>
    <row r="90" spans="1:2" x14ac:dyDescent="0.3">
      <c r="A90" s="118">
        <v>1.036</v>
      </c>
      <c r="B90">
        <v>34.979999999999997</v>
      </c>
    </row>
    <row r="91" spans="1:2" x14ac:dyDescent="0.3">
      <c r="A91" s="118">
        <v>1.0369999999999999</v>
      </c>
      <c r="B91">
        <v>20.85</v>
      </c>
    </row>
    <row r="92" spans="1:2" x14ac:dyDescent="0.3">
      <c r="A92" s="118">
        <v>1.038</v>
      </c>
      <c r="B92">
        <v>38.89</v>
      </c>
    </row>
    <row r="93" spans="1:2" x14ac:dyDescent="0.3">
      <c r="A93" s="118">
        <v>1.05</v>
      </c>
      <c r="B93">
        <v>85.4</v>
      </c>
    </row>
    <row r="94" spans="1:2" x14ac:dyDescent="0.3">
      <c r="A94" s="118">
        <v>1.0509999999999999</v>
      </c>
      <c r="B94">
        <v>88.85</v>
      </c>
    </row>
    <row r="95" spans="1:2" x14ac:dyDescent="0.3">
      <c r="A95" s="118">
        <v>2.0790000000000002</v>
      </c>
      <c r="B95">
        <v>228.05</v>
      </c>
    </row>
    <row r="96" spans="1:2" x14ac:dyDescent="0.3">
      <c r="A96" s="118">
        <v>2.081</v>
      </c>
      <c r="B96">
        <v>427.24</v>
      </c>
    </row>
    <row r="97" spans="1:2" x14ac:dyDescent="0.3">
      <c r="A97" s="118">
        <v>2.0840000000000001</v>
      </c>
      <c r="B97">
        <v>77.849999999999994</v>
      </c>
    </row>
    <row r="98" spans="1:2" x14ac:dyDescent="0.3">
      <c r="A98" s="118">
        <v>2.085</v>
      </c>
      <c r="B98">
        <v>319.92</v>
      </c>
    </row>
    <row r="99" spans="1:2" x14ac:dyDescent="0.3">
      <c r="A99" s="118">
        <v>2.0870000000000002</v>
      </c>
      <c r="B99">
        <v>83.33</v>
      </c>
    </row>
    <row r="100" spans="1:2" x14ac:dyDescent="0.3">
      <c r="A100" s="118">
        <v>2.097</v>
      </c>
      <c r="B100">
        <v>28.81</v>
      </c>
    </row>
    <row r="101" spans="1:2" x14ac:dyDescent="0.3">
      <c r="A101" s="118">
        <v>2.0979999999999999</v>
      </c>
      <c r="B101">
        <v>28.19</v>
      </c>
    </row>
    <row r="102" spans="1:2" x14ac:dyDescent="0.3">
      <c r="A102" s="118">
        <v>2.1019999999999999</v>
      </c>
      <c r="B102">
        <v>28.36</v>
      </c>
    </row>
    <row r="103" spans="1:2" x14ac:dyDescent="0.3">
      <c r="A103" s="118">
        <v>2.16</v>
      </c>
      <c r="B103">
        <v>78.209999999999994</v>
      </c>
    </row>
    <row r="104" spans="1:2" x14ac:dyDescent="0.3">
      <c r="A104" s="118">
        <v>3.085</v>
      </c>
      <c r="B104">
        <v>54.81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39</vt:i4>
      </vt:variant>
    </vt:vector>
  </HeadingPairs>
  <TitlesOfParts>
    <vt:vector size="39" baseType="lpstr">
      <vt:lpstr>ВОР 2 э. шт.</vt:lpstr>
      <vt:lpstr>11.2КрсИнв</vt:lpstr>
      <vt:lpstr>11.1КрсИнв</vt:lpstr>
      <vt:lpstr>10.6-ШтрбНЗ</vt:lpstr>
      <vt:lpstr>10.5Плн</vt:lpstr>
      <vt:lpstr>10.4Лбк</vt:lpstr>
      <vt:lpstr>10.2Кр8в</vt:lpstr>
      <vt:lpstr>10.1Шп8в</vt:lpstr>
      <vt:lpstr>9.1.1ММПЛес</vt:lpstr>
      <vt:lpstr>9.1ММП</vt:lpstr>
      <vt:lpstr>8.2</vt:lpstr>
      <vt:lpstr>8.1</vt:lpstr>
      <vt:lpstr>5.1Пл6в</vt:lpstr>
      <vt:lpstr>4.5ДвОтк</vt:lpstr>
      <vt:lpstr>4.4дмСт</vt:lpstr>
      <vt:lpstr>4.3.3СуШтНЗ</vt:lpstr>
      <vt:lpstr>4.3.2НарСтНЗ</vt:lpstr>
      <vt:lpstr>4.3Мтж</vt:lpstr>
      <vt:lpstr>4.2Дм</vt:lpstr>
      <vt:lpstr>4.1-ШтрбНЗ</vt:lpstr>
      <vt:lpstr>Лист3</vt:lpstr>
      <vt:lpstr>3.3ШпФн6в</vt:lpstr>
      <vt:lpstr>3.2ШпФин</vt:lpstr>
      <vt:lpstr>2.6ЧСТ3</vt:lpstr>
      <vt:lpstr>1.7ГКЛ</vt:lpstr>
      <vt:lpstr>2.5Шт5блСпртЗл</vt:lpstr>
      <vt:lpstr>Спец 2 э. шт.</vt:lpstr>
      <vt:lpstr>ВОР 3 э. шт.</vt:lpstr>
      <vt:lpstr>Спец 3 э. шт.</vt:lpstr>
      <vt:lpstr>ВОР 1.2.3 э. шт.</vt:lpstr>
      <vt:lpstr>сп1.2.3эт</vt:lpstr>
      <vt:lpstr>Лист4</vt:lpstr>
      <vt:lpstr>Лист2</vt:lpstr>
      <vt:lpstr>2.1ШпВор</vt:lpstr>
      <vt:lpstr>2.2)Шп1эт</vt:lpstr>
      <vt:lpstr>2.3)Шп2эт</vt:lpstr>
      <vt:lpstr>2.4)Шп3эт</vt:lpstr>
      <vt:lpstr>3.1ШпФин</vt:lpstr>
      <vt:lpstr>Лист5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Linux</cp:lastModifiedBy>
  <dcterms:created xsi:type="dcterms:W3CDTF">2025-09-01T11:02:25Z</dcterms:created>
  <dcterms:modified xsi:type="dcterms:W3CDTF">2026-09-28T12:25:57Z</dcterms:modified>
</cp:coreProperties>
</file>