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4" activeTab="6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7.8Пл6" sheetId="40" r:id="rId5"/>
    <sheet name="7.7ммп" sheetId="39" r:id="rId6"/>
    <sheet name="7.6Плв6" sheetId="38" r:id="rId7"/>
    <sheet name="7.5излЛК6в6" sheetId="35" r:id="rId8"/>
    <sheet name="7.4изл7.1в6" sheetId="34" r:id="rId9"/>
    <sheet name="7.3Пл6" sheetId="33" r:id="rId10"/>
    <sheet name="Спец 3 эт" sheetId="6" r:id="rId11"/>
    <sheet name="общий (2)" sheetId="5" state="hidden" r:id="rId12"/>
    <sheet name="не сделали" sheetId="21" r:id="rId13"/>
    <sheet name="ВорИзол" sheetId="10" r:id="rId14"/>
    <sheet name="Из1эт" sheetId="8" r:id="rId15"/>
    <sheet name="Из2эт" sheetId="9" r:id="rId16"/>
    <sheet name="ВорПленка" sheetId="12" r:id="rId17"/>
    <sheet name="Плк1э" sheetId="13" r:id="rId18"/>
    <sheet name="Плк2э" sheetId="14" state="hidden" r:id="rId19"/>
    <sheet name="Плк3э" sheetId="15" state="hidden" r:id="rId20"/>
    <sheet name="Общ" sheetId="7" r:id="rId21"/>
    <sheet name="СКБ-1эт" sheetId="17" r:id="rId22"/>
    <sheet name="1эт" sheetId="18" r:id="rId23"/>
    <sheet name="2эт" sheetId="19" r:id="rId24"/>
    <sheet name="3эт" sheetId="20" r:id="rId25"/>
    <sheet name="КП" sheetId="23" r:id="rId26"/>
    <sheet name="7.2-Гидр5" sheetId="31" r:id="rId27"/>
    <sheet name="7.1-Шл4.4" sheetId="32" r:id="rId28"/>
    <sheet name="6.1-Нал.пл" sheetId="29" r:id="rId29"/>
    <sheet name="5.3СКБ11в6" sheetId="37" r:id="rId30"/>
    <sheet name="5.2-СКБ7.1" sheetId="30" r:id="rId31"/>
    <sheet name="5.1-СКБ" sheetId="26" r:id="rId32"/>
    <sheet name="4.1-Изол" sheetId="25" r:id="rId33"/>
    <sheet name="3.3ПлнкЛК6в6" sheetId="36" r:id="rId34"/>
    <sheet name="3.2-Плен" sheetId="28" r:id="rId35"/>
    <sheet name="3.1-Пл" sheetId="24" r:id="rId36"/>
    <sheet name="2.1-Пл" sheetId="22" r:id="rId37"/>
  </sheets>
  <definedNames>
    <definedName name="_xlnm._FilterDatabase" localSheetId="10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9" i="36" l="1"/>
  <c r="N49" i="36"/>
  <c r="D9" i="40" l="1"/>
  <c r="O49" i="36" s="1"/>
  <c r="H3" i="40" l="1"/>
  <c r="P47" i="36"/>
  <c r="P43" i="36"/>
  <c r="P44" i="36"/>
  <c r="P45" i="36"/>
  <c r="N42" i="36"/>
  <c r="P42" i="36" s="1"/>
  <c r="N46" i="36" l="1"/>
  <c r="P46" i="36" s="1"/>
  <c r="G15" i="39"/>
  <c r="G11" i="39"/>
  <c r="G7" i="39"/>
  <c r="G3" i="39"/>
  <c r="D27" i="38" l="1"/>
  <c r="I4" i="38" s="1"/>
  <c r="D13" i="38"/>
  <c r="I3" i="38"/>
  <c r="H4" i="31" l="1"/>
  <c r="D9" i="36" l="1"/>
  <c r="I3" i="36"/>
  <c r="D9" i="35" l="1"/>
  <c r="I3" i="35" s="1"/>
  <c r="D7" i="34"/>
  <c r="I3" i="34" s="1"/>
  <c r="D9" i="33" l="1"/>
  <c r="I3" i="33" s="1"/>
  <c r="D9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<sst xmlns="http://schemas.openxmlformats.org/spreadsheetml/2006/main" count="1313" uniqueCount="420">
  <si>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</si>
  <si>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</si>
  <si>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</si>
  <si>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</si>
  <si>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</si>
  <si>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</si>
  <si>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</si>
  <si>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</si>
  <si>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</si>
  <si>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</si>
  <si>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</si>
  <si>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</si>
  <si>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</si>
  <si>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</si>
  <si>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</si>
  <si>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</si>
  <si>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</si>
  <si>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</si>
  <si>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</si>
  <si>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</si>
  <si>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</si>
  <si>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</si>
  <si>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</si>
  <si>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</si>
  <si>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</si>
  <si>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</si>
  <si>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</si>
  <si>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</si>
  <si>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</si>
  <si>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</si>
  <si>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</si>
  <si>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</si>
  <si>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</si>
  <si>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</si>
  <si>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</si>
  <si>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</si>
  <si>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</si>
  <si>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</si>
  <si>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</si>
  <si>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</si>
  <si>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</si>
  <si>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</si>
  <si>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</si>
  <si>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</si>
  <si>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</si>
  <si>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</si>
  <si>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</si>
  <si>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</si>
  <si>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</si>
  <si>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</si>
  <si>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</si>
  <si>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</si>
  <si>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</si>
  <si>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</si>
  <si>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</si>
  <si>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</si>
  <si>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</si>
  <si>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</si>
  <si>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</si>
  <si>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</si>
  <si>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</si>
  <si>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</si>
  <si>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</si>
  <si>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</si>
  <si>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</si>
  <si>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</si>
  <si>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</si>
  <si>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</si>
  <si>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</si>
  <si>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</si>
  <si>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</si>
  <si>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</si>
  <si>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</si>
  <si>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</si>
  <si>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</si>
  <si>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</si>
  <si>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</si>
  <si>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</si>
  <si>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</si>
  <si>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</si>
  <si>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</si>
  <si>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</si>
  <si>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</si>
  <si>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</si>
  <si>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</si>
  <si>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</si>
  <si>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</si>
  <si>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</si>
  <si>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</si>
  <si>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</si>
  <si>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</si>
  <si>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</si>
  <si>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</si>
  <si>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</si>
  <si>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</si>
  <si>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</si>
  <si>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</si>
  <si>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</si>
  <si>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</si>
  <si>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</si>
  <si>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</si>
  <si>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</si>
  <si>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</si>
  <si>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</si>
  <si>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</si>
  <si>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</si>
  <si>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</si>
  <si>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</si>
  <si>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</si>
  <si>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</si>
  <si>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</si>
  <si>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</si>
  <si>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</si>
  <si>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</si>
  <si>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</si>
  <si>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</si>
  <si>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</si>
  <si>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</si>
  <si>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</si>
  <si>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</si>
  <si>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</si>
  <si>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</si>
  <si>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</si>
  <si>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</si>
  <si>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</si>
  <si>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</si>
  <si>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</si>
  <si>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</si>
  <si>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</si>
  <si>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</si>
  <si>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</si>
  <si>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</si>
  <si>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</si>
  <si>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</si>
  <si>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</si>
  <si>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</si>
  <si>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</si>
  <si>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</si>
  <si>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</si>
  <si>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</si>
  <si>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</si>
  <si>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</si>
  <si>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</si>
  <si>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</si>
  <si>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</si>
  <si>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</si>
  <si>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</si>
  <si>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</si>
  <si>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</si>
  <si>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</si>
  <si>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</si>
  <si>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</si>
  <si>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</si>
  <si>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</si>
  <si>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</si>
  <si>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</si>
  <si>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</si>
  <si>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</si>
  <si>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</si>
  <si>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</si>
  <si>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</si>
  <si>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</si>
  <si>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</si>
  <si>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</si>
  <si>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</si>
  <si>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</si>
  <si>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</si>
  <si>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</si>
  <si>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</si>
  <si>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</si>
  <si>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</si>
  <si>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</si>
  <si>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</si>
  <si>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</si>
  <si>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</si>
  <si>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</si>
  <si>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</si>
  <si>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</si>
  <si>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</si>
  <si>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</si>
  <si>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</si>
  <si>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</si>
  <si>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</si>
  <si>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</si>
  <si>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</si>
  <si>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</si>
  <si>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</si>
  <si>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</si>
  <si>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</si>
  <si>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</si>
  <si>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</si>
  <si>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</si>
  <si>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</si>
  <si>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</si>
  <si>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</si>
  <si>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</si>
  <si>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</si>
  <si>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</si>
  <si>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</si>
  <si>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</si>
  <si>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</si>
  <si>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</si>
  <si>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</si>
  <si>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</si>
  <si>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</si>
  <si>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</si>
  <si>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</si>
  <si>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</si>
  <si>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</si>
  <si>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</si>
  <si>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</si>
  <si>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</si>
  <si>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</si>
  <si>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</si>
  <si>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</si>
  <si>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</si>
  <si>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</si>
  <si>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</si>
  <si>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</si>
  <si>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</si>
  <si>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</si>
  <si>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</si>
  <si>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</si>
  <si>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</si>
  <si>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</si>
  <si>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</si>
  <si>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</si>
  <si>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</si>
  <si>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</si>
  <si>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</si>
  <si>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</si>
  <si>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</si>
  <si>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</si>
  <si>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</si>
  <si>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</si>
  <si>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</si>
  <si>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</si>
  <si>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</si>
  <si>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</si>
  <si>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</si>
  <si>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</si>
  <si>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</si>
  <si>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</si>
  <si>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</si>
  <si>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</si>
  <si>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</si>
  <si>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</si>
  <si>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</si>
  <si>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</si>
  <si>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</si>
  <si>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</si>
  <si>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</si>
  <si>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</si>
  <si>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</si>
  <si>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</si>
  <si>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</si>
  <si>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</si>
  <si>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</si>
  <si>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</si>
  <si>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</si>
  <si>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</si>
  <si>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</si>
  <si>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</si>
  <si>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</si>
  <si>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</si>
  <si>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</si>
  <si>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</si>
  <si>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</si>
  <si>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</si>
  <si>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</si>
  <si>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</si>
  <si>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</si>
  <si>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</si>
  <si>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</si>
  <si>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</si>
  <si>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</si>
  <si>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</si>
  <si>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</si>
  <si>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</si>
  <si>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</si>
  <si>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</si>
  <si>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</si>
  <si>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</si>
  <si>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</si>
  <si>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</si>
  <si>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</si>
  <si>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</si>
  <si>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</si>
  <si>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</si>
  <si>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</si>
  <si>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</si>
  <si>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</si>
  <si>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</si>
  <si>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</si>
  <si>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</si>
  <si>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</si>
  <si>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</si>
  <si>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</si>
  <si>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</si>
  <si>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</si>
  <si>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</si>
  <si>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</si>
  <si>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</si>
  <si>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</si>
  <si>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</si>
  <si>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</si>
  <si>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</si>
  <si>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</si>
  <si>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</si>
  <si>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</si>
  <si>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</si>
  <si>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</si>
  <si>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</si>
  <si>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</si>
  <si>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</si>
  <si>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</si>
  <si>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</si>
  <si>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</si>
  <si>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</si>
  <si>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</si>
  <si>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</si>
  <si>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</si>
  <si>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</si>
  <si>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</si>
  <si>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</si>
  <si>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</si>
  <si>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</si>
  <si>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</si>
  <si>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</si>
  <si>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</si>
  <si>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</si>
  <si>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</si>
  <si>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</si>
  <si>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</si>
  <si>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</si>
  <si>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</si>
  <si>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</si>
  <si>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</si>
  <si>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</si>
  <si>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</si>
  <si>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</si>
  <si>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</si>
  <si>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</si>
  <si>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</si>
  <si>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</si>
  <si>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</si>
  <si>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</si>
  <si>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</si>
  <si>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</si>
  <si>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</si>
  <si>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</si>
  <si>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</si>
  <si>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</si>
  <si>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</si>
  <si>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</si>
  <si>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</si>
  <si>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</si>
  <si>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</si>
  <si>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</si>
  <si>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</si>
  <si>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</si>
  <si>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</si>
  <si>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</si>
  <si>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</si>
  <si>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</si>
  <si>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</si>
  <si>
    <t>Поз</t>
  </si>
  <si>
    <t>Устройство покрытия пола СКБ с затиркой и укрытием ДВП / из керамогранитной плитки от 0,2м2/шт</t>
  </si>
  <si>
    <t>Пом</t>
  </si>
  <si>
    <t>1.053</t>
  </si>
  <si>
    <t>1.054</t>
  </si>
  <si>
    <t>7.1</t>
  </si>
  <si>
    <t>1этаж, блок 4.1. Пол Тип: 6, 7, 7.1.</t>
  </si>
  <si>
    <t>Тип 7.1
Утеплитель ТЕХНОНИКОЛЬ</t>
  </si>
  <si>
    <t>НЗ № 8 от 17.11.2025 Отделка лестниц: ЛК9, ЛК10, ЛК11. Полы Тип: 6</t>
  </si>
  <si>
    <t>ЛК9, Тип-6</t>
  </si>
  <si>
    <t>ЛК10, Тип-6</t>
  </si>
  <si>
    <t>ЛК11, Тип-6</t>
  </si>
  <si>
    <t>1.025</t>
  </si>
  <si>
    <t>1.047</t>
  </si>
  <si>
    <t>1.052</t>
  </si>
  <si>
    <t>1.038</t>
  </si>
  <si>
    <t>8.1</t>
  </si>
  <si>
    <t>8.2</t>
  </si>
  <si>
    <t>9</t>
  </si>
  <si>
    <t>9.1</t>
  </si>
  <si>
    <t>2</t>
  </si>
  <si>
    <t>НЗ № 8 от 17.11.2025 Отделка лестниц: ЛК9, ЛК10, ЛК11. Полы Тип: 6.</t>
  </si>
  <si>
    <t>.</t>
  </si>
  <si>
    <t>4.4</t>
  </si>
  <si>
    <t>5</t>
  </si>
  <si>
    <t>5.1</t>
  </si>
  <si>
    <t>6</t>
  </si>
  <si>
    <t>6.1</t>
  </si>
  <si>
    <t>7</t>
  </si>
  <si>
    <t>Устройство покрытия пола СКБ с затиркой и укрытием ДВП / из керамогранитной плитки до 0,2м2/шт</t>
  </si>
  <si>
    <t>1, 2, 3, этажи, блок 1. Пол Тип: 8.2 , 8.3</t>
  </si>
  <si>
    <t>1.037</t>
  </si>
  <si>
    <t>8.3</t>
  </si>
  <si>
    <t>Объем, м2:</t>
  </si>
  <si>
    <t>3.018</t>
  </si>
  <si>
    <t>3.092</t>
  </si>
  <si>
    <t>1.034</t>
  </si>
  <si>
    <t>1.035</t>
  </si>
  <si>
    <t>1.036</t>
  </si>
  <si>
    <t>3.015</t>
  </si>
  <si>
    <t>3.016</t>
  </si>
  <si>
    <t>3.017</t>
  </si>
  <si>
    <t>1.045</t>
  </si>
  <si>
    <t>1.046</t>
  </si>
  <si>
    <t>1, 2, 3, этажи, блоки 1 и 4.1. Пол Тип: 6, 7.2</t>
  </si>
  <si>
    <t>Алмазная резка железобетонных конструкций (учтены расходные материалы)_ / 180 мм</t>
  </si>
  <si>
    <t>пог.м.</t>
  </si>
  <si>
    <t>Демонтаж бетона с сохранением арматуры</t>
  </si>
  <si>
    <t>Устройство кирпичной кирпичной кладки</t>
  </si>
  <si>
    <t>Устройство монолитных лестничных маршей (М400)</t>
  </si>
  <si>
    <t>ММП6.1</t>
  </si>
  <si>
    <t>Пол Тип: 6.1.</t>
  </si>
  <si>
    <t>ММП1</t>
  </si>
  <si>
    <t>ММП2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</si>
</sst>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FF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16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49" fontId="11" fillId="0" borderId="0" xfId="0" applyNumberFormat="1" applyFont="1"/>
    <xf numFmtId="49" fontId="0" fillId="0" borderId="0" xfId="0" applyNumberFormat="1"/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4" fillId="0" borderId="0" xfId="0" applyFont="1"/>
    <xf numFmtId="0" fontId="2" fillId="0" borderId="1" xfId="0" applyFont="1" applyBorder="1" applyAlignment="1">
      <alignment horizontal="center" vertical="center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2" fillId="0" borderId="1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/>
    </xf>
    <xf numFmtId="2" fontId="11" fillId="0" borderId="0" xfId="0" applyNumberFormat="1" applyFont="1"/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,1"/>
        <filter val="7,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,4"/>
        <filter val="6,1"/>
        <filter val="7,2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,1"/>
        <filter val="8,1"/>
        <filter val="8,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92" t="s">
        <v>48</v>
      </c>
      <c r="B1" s="192"/>
      <c r="C1" s="192"/>
      <c r="D1" s="192"/>
      <c r="E1" s="192"/>
      <c r="F1" s="192"/>
      <c r="G1" s="192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12"/>
  <sheetViews>
    <sheetView zoomScale="55" zoomScaleNormal="55" workbookViewId="0">
      <selection activeCell="E5" sqref="A1:H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5.33203125" style="156" customWidth="1"/>
    <col min="8" max="8" width="12.5546875" style="156" customWidth="1"/>
    <col min="9" max="16384" width="8.88671875" style="156"/>
  </cols>
  <sheetData>
    <row r="1" spans="1:8" x14ac:dyDescent="0.35">
      <c r="A1" s="222" t="s">
        <v>317</v>
      </c>
      <c r="B1" s="223"/>
      <c r="C1" s="223"/>
      <c r="D1" s="223"/>
      <c r="E1" s="223"/>
      <c r="F1" s="223"/>
      <c r="G1" s="223"/>
      <c r="H1" s="224"/>
    </row>
    <row r="2" spans="1:8" ht="18" customHeight="1" x14ac:dyDescent="0.35">
      <c r="A2" s="190" t="s">
        <v>359</v>
      </c>
      <c r="B2" s="197" t="s">
        <v>302</v>
      </c>
      <c r="C2" s="198"/>
      <c r="D2" s="198"/>
      <c r="E2" s="199"/>
      <c r="F2" s="167" t="s">
        <v>341</v>
      </c>
      <c r="G2" s="190" t="s">
        <v>2</v>
      </c>
      <c r="H2" s="158" t="s">
        <v>4</v>
      </c>
    </row>
    <row r="3" spans="1:8" ht="66.599999999999994" customHeight="1" x14ac:dyDescent="0.35">
      <c r="A3" s="190">
        <v>1</v>
      </c>
      <c r="B3" s="193" t="s">
        <v>367</v>
      </c>
      <c r="C3" s="194"/>
      <c r="D3" s="194"/>
      <c r="E3" s="195"/>
      <c r="F3" s="167" t="s">
        <v>417</v>
      </c>
      <c r="G3" s="190" t="s">
        <v>7</v>
      </c>
      <c r="H3" s="159">
        <f>D9</f>
        <v>435.32</v>
      </c>
    </row>
    <row r="4" spans="1:8" x14ac:dyDescent="0.35">
      <c r="A4" s="202"/>
      <c r="B4" s="202"/>
      <c r="C4" s="202"/>
      <c r="D4" s="202"/>
      <c r="E4" s="202"/>
      <c r="F4" s="202"/>
      <c r="G4" s="202"/>
      <c r="H4" s="202"/>
    </row>
    <row r="5" spans="1:8" x14ac:dyDescent="0.35">
      <c r="A5" s="163" t="s">
        <v>0</v>
      </c>
      <c r="B5" s="163" t="s">
        <v>368</v>
      </c>
      <c r="C5" s="163" t="s">
        <v>36</v>
      </c>
      <c r="D5" s="163" t="s">
        <v>399</v>
      </c>
      <c r="E5" s="203"/>
      <c r="F5" s="200"/>
      <c r="G5" s="200"/>
      <c r="H5" s="200"/>
    </row>
    <row r="6" spans="1:8" x14ac:dyDescent="0.35">
      <c r="A6" s="163">
        <v>1</v>
      </c>
      <c r="B6" s="163" t="s">
        <v>418</v>
      </c>
      <c r="C6" s="183" t="s">
        <v>393</v>
      </c>
      <c r="D6" s="163">
        <v>158.30000000000001</v>
      </c>
      <c r="E6" s="203"/>
      <c r="F6" s="200"/>
      <c r="G6" s="200"/>
      <c r="H6" s="200"/>
    </row>
    <row r="7" spans="1:8" x14ac:dyDescent="0.35">
      <c r="A7" s="163">
        <v>2</v>
      </c>
      <c r="B7" s="163" t="s">
        <v>419</v>
      </c>
      <c r="C7" s="183" t="s">
        <v>393</v>
      </c>
      <c r="D7" s="163">
        <v>152.1</v>
      </c>
      <c r="E7" s="203"/>
      <c r="F7" s="200"/>
      <c r="G7" s="200"/>
      <c r="H7" s="200"/>
    </row>
    <row r="8" spans="1:8" x14ac:dyDescent="0.35">
      <c r="A8" s="163">
        <v>3</v>
      </c>
      <c r="B8" s="163" t="s">
        <v>91</v>
      </c>
      <c r="C8" s="183" t="s">
        <v>393</v>
      </c>
      <c r="D8" s="163">
        <v>124.92</v>
      </c>
      <c r="E8" s="203"/>
      <c r="F8" s="200"/>
      <c r="G8" s="200"/>
      <c r="H8" s="200"/>
    </row>
    <row r="9" spans="1:8" x14ac:dyDescent="0.35">
      <c r="A9" s="202"/>
      <c r="B9" s="225"/>
      <c r="C9" s="182" t="s">
        <v>365</v>
      </c>
      <c r="D9" s="163">
        <f>SUM(D6:D8)</f>
        <v>435.32</v>
      </c>
      <c r="E9" s="203"/>
      <c r="F9" s="200"/>
      <c r="G9" s="200"/>
      <c r="H9" s="200"/>
    </row>
    <row r="12" spans="1:8" x14ac:dyDescent="0.35">
      <c r="D12" s="226">
        <v>435.32000000000005</v>
      </c>
    </row>
  </sheetData>
  <mergeCells count="6">
    <mergeCell ref="B2:E2"/>
    <mergeCell ref="B3:E3"/>
    <mergeCell ref="A1:H1"/>
    <mergeCell ref="A4:H4"/>
    <mergeCell ref="E5:H9"/>
    <mergeCell ref="A9:B9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G15"/>
  <sheetViews>
    <sheetView zoomScale="55" zoomScaleNormal="55" workbookViewId="0">
      <selection activeCell="G15" sqref="A13:G15"/>
    </sheetView>
  </sheetViews>
  <sheetFormatPr defaultRowHeight="18" x14ac:dyDescent="0.35"/>
  <cols>
    <col min="1" max="1" width="11.5546875" style="156" customWidth="1"/>
    <col min="2" max="2" width="12" style="156" customWidth="1"/>
    <col min="3" max="3" width="14.109375" style="156" customWidth="1"/>
    <col min="4" max="4" width="17.5546875" style="156" customWidth="1"/>
    <col min="5" max="5" width="7.21875" style="156" customWidth="1"/>
    <col min="6" max="6" width="12.5546875" style="156" customWidth="1"/>
    <col min="7" max="7" width="12.88671875" style="156" customWidth="1"/>
    <col min="8" max="16384" width="8.88671875" style="156"/>
  </cols>
  <sheetData>
    <row r="1" spans="1:7" x14ac:dyDescent="0.35">
      <c r="A1" s="196" t="s">
        <v>317</v>
      </c>
      <c r="B1" s="196"/>
      <c r="C1" s="196"/>
      <c r="D1" s="196"/>
      <c r="E1" s="196"/>
      <c r="F1" s="196"/>
      <c r="G1" s="196"/>
    </row>
    <row r="2" spans="1:7" ht="18" customHeight="1" x14ac:dyDescent="0.35">
      <c r="A2" s="189" t="s">
        <v>359</v>
      </c>
      <c r="B2" s="197" t="s">
        <v>302</v>
      </c>
      <c r="C2" s="198"/>
      <c r="D2" s="198"/>
      <c r="E2" s="199"/>
      <c r="F2" s="189" t="s">
        <v>2</v>
      </c>
      <c r="G2" s="158" t="s">
        <v>4</v>
      </c>
    </row>
    <row r="3" spans="1:7" ht="54" customHeight="1" x14ac:dyDescent="0.35">
      <c r="A3" s="189">
        <v>1</v>
      </c>
      <c r="B3" s="193" t="s">
        <v>411</v>
      </c>
      <c r="C3" s="194"/>
      <c r="D3" s="194"/>
      <c r="E3" s="195"/>
      <c r="F3" s="189" t="s">
        <v>412</v>
      </c>
      <c r="G3" s="159">
        <f>1.144*6+4.1*4+0.9*18</f>
        <v>39.463999999999999</v>
      </c>
    </row>
    <row r="5" spans="1:7" x14ac:dyDescent="0.35">
      <c r="A5" s="196" t="s">
        <v>317</v>
      </c>
      <c r="B5" s="196"/>
      <c r="C5" s="196"/>
      <c r="D5" s="196"/>
      <c r="E5" s="196"/>
      <c r="F5" s="196"/>
      <c r="G5" s="196"/>
    </row>
    <row r="6" spans="1:7" x14ac:dyDescent="0.35">
      <c r="A6" s="189" t="s">
        <v>359</v>
      </c>
      <c r="B6" s="197" t="s">
        <v>302</v>
      </c>
      <c r="C6" s="198"/>
      <c r="D6" s="198"/>
      <c r="E6" s="199"/>
      <c r="F6" s="189" t="s">
        <v>2</v>
      </c>
      <c r="G6" s="158" t="s">
        <v>4</v>
      </c>
    </row>
    <row r="7" spans="1:7" ht="55.2" customHeight="1" x14ac:dyDescent="0.35">
      <c r="A7" s="189">
        <v>2</v>
      </c>
      <c r="B7" s="193" t="s">
        <v>413</v>
      </c>
      <c r="C7" s="194"/>
      <c r="D7" s="194"/>
      <c r="E7" s="195"/>
      <c r="F7" s="189" t="s">
        <v>105</v>
      </c>
      <c r="G7" s="159">
        <f>0.9*0.03*4.1*4</f>
        <v>0.44279999999999997</v>
      </c>
    </row>
    <row r="9" spans="1:7" x14ac:dyDescent="0.35">
      <c r="A9" s="196" t="s">
        <v>317</v>
      </c>
      <c r="B9" s="196"/>
      <c r="C9" s="196"/>
      <c r="D9" s="196"/>
      <c r="E9" s="196"/>
      <c r="F9" s="196"/>
      <c r="G9" s="196"/>
    </row>
    <row r="10" spans="1:7" x14ac:dyDescent="0.35">
      <c r="A10" s="189" t="s">
        <v>359</v>
      </c>
      <c r="B10" s="197" t="s">
        <v>302</v>
      </c>
      <c r="C10" s="198"/>
      <c r="D10" s="198"/>
      <c r="E10" s="199"/>
      <c r="F10" s="189" t="s">
        <v>2</v>
      </c>
      <c r="G10" s="158" t="s">
        <v>4</v>
      </c>
    </row>
    <row r="11" spans="1:7" ht="40.799999999999997" customHeight="1" x14ac:dyDescent="0.35">
      <c r="A11" s="189">
        <v>3</v>
      </c>
      <c r="B11" s="193" t="s">
        <v>414</v>
      </c>
      <c r="C11" s="194"/>
      <c r="D11" s="194"/>
      <c r="E11" s="195"/>
      <c r="F11" s="189" t="s">
        <v>105</v>
      </c>
      <c r="G11" s="159">
        <f>0.34*4.1</f>
        <v>1.3939999999999999</v>
      </c>
    </row>
    <row r="13" spans="1:7" x14ac:dyDescent="0.35">
      <c r="A13" s="196" t="s">
        <v>317</v>
      </c>
      <c r="B13" s="196"/>
      <c r="C13" s="196"/>
      <c r="D13" s="196"/>
      <c r="E13" s="196"/>
      <c r="F13" s="196"/>
      <c r="G13" s="196"/>
    </row>
    <row r="14" spans="1:7" x14ac:dyDescent="0.35">
      <c r="A14" s="189" t="s">
        <v>359</v>
      </c>
      <c r="B14" s="197" t="s">
        <v>302</v>
      </c>
      <c r="C14" s="198"/>
      <c r="D14" s="198"/>
      <c r="E14" s="199"/>
      <c r="F14" s="189" t="s">
        <v>2</v>
      </c>
      <c r="G14" s="158" t="s">
        <v>4</v>
      </c>
    </row>
    <row r="15" spans="1:7" ht="60.6" customHeight="1" x14ac:dyDescent="0.35">
      <c r="A15" s="189">
        <v>4</v>
      </c>
      <c r="B15" s="193" t="s">
        <v>415</v>
      </c>
      <c r="C15" s="194"/>
      <c r="D15" s="194"/>
      <c r="E15" s="195"/>
      <c r="F15" s="189" t="s">
        <v>105</v>
      </c>
      <c r="G15" s="159">
        <f>0.76*4.1</f>
        <v>3.1159999999999997</v>
      </c>
    </row>
  </sheetData>
  <mergeCells count="12">
    <mergeCell ref="A1:G1"/>
    <mergeCell ref="B2:E2"/>
    <mergeCell ref="B3:E3"/>
    <mergeCell ref="A13:G13"/>
    <mergeCell ref="B14:E14"/>
    <mergeCell ref="B15:E15"/>
    <mergeCell ref="A5:G5"/>
    <mergeCell ref="B6:E6"/>
    <mergeCell ref="B7:E7"/>
    <mergeCell ref="A9:G9"/>
    <mergeCell ref="B10:E10"/>
    <mergeCell ref="B11:E1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27"/>
  <sheetViews>
    <sheetView tabSelected="1" zoomScale="55" zoomScaleNormal="55" workbookViewId="0">
      <selection activeCell="I4" sqref="I4"/>
    </sheetView>
  </sheetViews>
  <sheetFormatPr defaultRowHeight="18" x14ac:dyDescent="0.35"/>
  <cols>
    <col min="1" max="2" width="11.5546875" style="156" customWidth="1"/>
    <col min="3" max="3" width="12" style="156" customWidth="1"/>
    <col min="4" max="4" width="14.109375" style="156" customWidth="1"/>
    <col min="5" max="5" width="17.5546875" style="156" customWidth="1"/>
    <col min="6" max="6" width="7.21875" style="156" customWidth="1"/>
    <col min="7" max="7" width="32.441406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196" t="s">
        <v>317</v>
      </c>
      <c r="B1" s="196"/>
      <c r="C1" s="196"/>
      <c r="D1" s="196"/>
      <c r="E1" s="196"/>
      <c r="F1" s="196"/>
      <c r="G1" s="196"/>
      <c r="H1" s="196"/>
      <c r="I1" s="196"/>
    </row>
    <row r="2" spans="1:9" ht="18" customHeight="1" x14ac:dyDescent="0.35">
      <c r="A2" s="188" t="s">
        <v>359</v>
      </c>
      <c r="B2" s="187" t="s">
        <v>366</v>
      </c>
      <c r="C2" s="197" t="s">
        <v>302</v>
      </c>
      <c r="D2" s="198"/>
      <c r="E2" s="198"/>
      <c r="F2" s="199"/>
      <c r="G2" s="167" t="s">
        <v>341</v>
      </c>
      <c r="H2" s="188" t="s">
        <v>2</v>
      </c>
      <c r="I2" s="158" t="s">
        <v>4</v>
      </c>
    </row>
    <row r="3" spans="1:9" ht="54" customHeight="1" x14ac:dyDescent="0.35">
      <c r="A3" s="188">
        <v>1</v>
      </c>
      <c r="B3" s="187">
        <v>177</v>
      </c>
      <c r="C3" s="193" t="s">
        <v>395</v>
      </c>
      <c r="D3" s="194"/>
      <c r="E3" s="194"/>
      <c r="F3" s="195"/>
      <c r="G3" s="167" t="s">
        <v>396</v>
      </c>
      <c r="H3" s="188" t="s">
        <v>7</v>
      </c>
      <c r="I3" s="159">
        <f>D13</f>
        <v>25.27</v>
      </c>
    </row>
    <row r="4" spans="1:9" ht="54" customHeight="1" x14ac:dyDescent="0.35">
      <c r="A4" s="188">
        <v>2</v>
      </c>
      <c r="B4" s="187">
        <v>192</v>
      </c>
      <c r="C4" s="193" t="s">
        <v>367</v>
      </c>
      <c r="D4" s="194"/>
      <c r="E4" s="194"/>
      <c r="F4" s="195"/>
      <c r="G4" s="167" t="s">
        <v>410</v>
      </c>
      <c r="H4" s="188" t="s">
        <v>7</v>
      </c>
      <c r="I4" s="159">
        <f>D27</f>
        <v>454.36999999999995</v>
      </c>
    </row>
    <row r="5" spans="1:9" x14ac:dyDescent="0.35">
      <c r="A5" s="202"/>
      <c r="B5" s="202"/>
      <c r="C5" s="202"/>
      <c r="D5" s="202"/>
      <c r="E5" s="202"/>
      <c r="F5" s="202"/>
      <c r="G5" s="202"/>
      <c r="H5" s="202"/>
      <c r="I5" s="202"/>
    </row>
    <row r="6" spans="1:9" x14ac:dyDescent="0.35">
      <c r="A6" s="163" t="s">
        <v>361</v>
      </c>
      <c r="B6" s="163" t="s">
        <v>368</v>
      </c>
      <c r="C6" s="163" t="s">
        <v>36</v>
      </c>
      <c r="D6" s="163" t="s">
        <v>399</v>
      </c>
      <c r="E6" s="200"/>
      <c r="F6" s="200"/>
      <c r="G6" s="200"/>
      <c r="H6" s="200"/>
      <c r="I6" s="200"/>
    </row>
    <row r="7" spans="1:9" x14ac:dyDescent="0.35">
      <c r="A7" s="163">
        <v>1</v>
      </c>
      <c r="B7" s="163" t="s">
        <v>397</v>
      </c>
      <c r="C7" s="183" t="s">
        <v>383</v>
      </c>
      <c r="D7" s="163">
        <v>3.14</v>
      </c>
      <c r="E7" s="200"/>
      <c r="F7" s="200"/>
      <c r="G7" s="200"/>
      <c r="H7" s="200"/>
      <c r="I7" s="200"/>
    </row>
    <row r="8" spans="1:9" x14ac:dyDescent="0.35">
      <c r="A8" s="163">
        <v>1</v>
      </c>
      <c r="B8" s="163" t="s">
        <v>381</v>
      </c>
      <c r="C8" s="183" t="s">
        <v>383</v>
      </c>
      <c r="D8" s="163">
        <v>5.25</v>
      </c>
      <c r="E8" s="200"/>
      <c r="F8" s="200"/>
      <c r="G8" s="200"/>
      <c r="H8" s="200"/>
      <c r="I8" s="200"/>
    </row>
    <row r="9" spans="1:9" x14ac:dyDescent="0.35">
      <c r="A9" s="163">
        <v>1</v>
      </c>
      <c r="B9" s="163" t="s">
        <v>68</v>
      </c>
      <c r="C9" s="183" t="s">
        <v>398</v>
      </c>
      <c r="D9" s="163">
        <v>3.16</v>
      </c>
      <c r="E9" s="200"/>
      <c r="F9" s="200"/>
      <c r="G9" s="200"/>
      <c r="H9" s="200"/>
      <c r="I9" s="200"/>
    </row>
    <row r="10" spans="1:9" x14ac:dyDescent="0.35">
      <c r="A10" s="163">
        <v>1</v>
      </c>
      <c r="B10" s="163" t="s">
        <v>69</v>
      </c>
      <c r="C10" s="183" t="s">
        <v>398</v>
      </c>
      <c r="D10" s="163">
        <v>5.29</v>
      </c>
      <c r="E10" s="200"/>
      <c r="F10" s="200"/>
      <c r="G10" s="200"/>
      <c r="H10" s="200"/>
      <c r="I10" s="200"/>
    </row>
    <row r="11" spans="1:9" x14ac:dyDescent="0.35">
      <c r="A11" s="163">
        <v>1</v>
      </c>
      <c r="B11" s="163" t="s">
        <v>400</v>
      </c>
      <c r="C11" s="183" t="s">
        <v>398</v>
      </c>
      <c r="D11" s="163">
        <v>3.18</v>
      </c>
      <c r="E11" s="200"/>
      <c r="F11" s="200"/>
      <c r="G11" s="200"/>
      <c r="H11" s="200"/>
      <c r="I11" s="200"/>
    </row>
    <row r="12" spans="1:9" x14ac:dyDescent="0.35">
      <c r="A12" s="163">
        <v>1</v>
      </c>
      <c r="B12" s="163" t="s">
        <v>401</v>
      </c>
      <c r="C12" s="183" t="s">
        <v>398</v>
      </c>
      <c r="D12" s="163">
        <v>5.25</v>
      </c>
      <c r="E12" s="200"/>
      <c r="F12" s="200"/>
      <c r="G12" s="200"/>
      <c r="H12" s="200"/>
      <c r="I12" s="200"/>
    </row>
    <row r="13" spans="1:9" x14ac:dyDescent="0.35">
      <c r="C13" s="182" t="s">
        <v>365</v>
      </c>
      <c r="D13" s="163">
        <f>SUM(D7:D12)</f>
        <v>25.27</v>
      </c>
      <c r="E13" s="200"/>
      <c r="F13" s="200"/>
      <c r="G13" s="200"/>
      <c r="H13" s="200"/>
      <c r="I13" s="200"/>
    </row>
    <row r="14" spans="1:9" x14ac:dyDescent="0.35">
      <c r="A14" s="201"/>
      <c r="B14" s="201"/>
      <c r="C14" s="201"/>
      <c r="D14" s="201"/>
      <c r="E14" s="200"/>
      <c r="F14" s="200"/>
      <c r="G14" s="200"/>
      <c r="H14" s="200"/>
      <c r="I14" s="200"/>
    </row>
    <row r="15" spans="1:9" x14ac:dyDescent="0.35">
      <c r="A15" s="163" t="s">
        <v>361</v>
      </c>
      <c r="B15" s="163" t="s">
        <v>368</v>
      </c>
      <c r="C15" s="163" t="s">
        <v>36</v>
      </c>
      <c r="D15" s="163" t="s">
        <v>399</v>
      </c>
      <c r="E15" s="200"/>
      <c r="F15" s="200"/>
      <c r="G15" s="200"/>
      <c r="H15" s="200"/>
      <c r="I15" s="200"/>
    </row>
    <row r="16" spans="1:9" x14ac:dyDescent="0.35">
      <c r="A16" s="163">
        <v>1</v>
      </c>
      <c r="B16" s="163" t="s">
        <v>408</v>
      </c>
      <c r="C16" s="183" t="s">
        <v>392</v>
      </c>
      <c r="D16" s="163">
        <v>238.43</v>
      </c>
      <c r="E16" s="200"/>
      <c r="F16" s="200"/>
      <c r="G16" s="200"/>
      <c r="H16" s="200"/>
      <c r="I16" s="200"/>
    </row>
    <row r="17" spans="1:9" x14ac:dyDescent="0.35">
      <c r="A17" s="163">
        <v>1</v>
      </c>
      <c r="B17" s="163" t="s">
        <v>409</v>
      </c>
      <c r="C17" s="183" t="s">
        <v>392</v>
      </c>
      <c r="D17" s="163">
        <v>83.81</v>
      </c>
      <c r="E17" s="200"/>
      <c r="F17" s="200"/>
      <c r="G17" s="200"/>
      <c r="H17" s="200"/>
      <c r="I17" s="200"/>
    </row>
    <row r="18" spans="1:9" x14ac:dyDescent="0.35">
      <c r="A18" s="163">
        <v>1</v>
      </c>
      <c r="B18" s="163" t="s">
        <v>402</v>
      </c>
      <c r="C18" s="183" t="s">
        <v>101</v>
      </c>
      <c r="D18" s="163">
        <v>17.059999999999999</v>
      </c>
      <c r="E18" s="200"/>
      <c r="F18" s="200"/>
      <c r="G18" s="200"/>
      <c r="H18" s="200"/>
      <c r="I18" s="200"/>
    </row>
    <row r="19" spans="1:9" x14ac:dyDescent="0.35">
      <c r="A19" s="163">
        <v>1</v>
      </c>
      <c r="B19" s="163" t="s">
        <v>403</v>
      </c>
      <c r="C19" s="183" t="s">
        <v>101</v>
      </c>
      <c r="D19" s="163">
        <v>21.33</v>
      </c>
      <c r="E19" s="200"/>
      <c r="F19" s="200"/>
      <c r="G19" s="200"/>
      <c r="H19" s="200"/>
      <c r="I19" s="200"/>
    </row>
    <row r="20" spans="1:9" x14ac:dyDescent="0.35">
      <c r="A20" s="163">
        <v>1</v>
      </c>
      <c r="B20" s="163" t="s">
        <v>404</v>
      </c>
      <c r="C20" s="183" t="s">
        <v>101</v>
      </c>
      <c r="D20" s="163">
        <v>5.69</v>
      </c>
      <c r="E20" s="200"/>
      <c r="F20" s="200"/>
      <c r="G20" s="200"/>
      <c r="H20" s="200"/>
      <c r="I20" s="200"/>
    </row>
    <row r="21" spans="1:9" x14ac:dyDescent="0.35">
      <c r="A21" s="163">
        <v>1</v>
      </c>
      <c r="B21" s="163" t="s">
        <v>65</v>
      </c>
      <c r="C21" s="183" t="s">
        <v>101</v>
      </c>
      <c r="D21" s="163">
        <v>17.079999999999998</v>
      </c>
      <c r="E21" s="200"/>
      <c r="F21" s="200"/>
      <c r="G21" s="200"/>
      <c r="H21" s="200"/>
      <c r="I21" s="200"/>
    </row>
    <row r="22" spans="1:9" x14ac:dyDescent="0.35">
      <c r="A22" s="163">
        <v>1</v>
      </c>
      <c r="B22" s="163" t="s">
        <v>66</v>
      </c>
      <c r="C22" s="183" t="s">
        <v>101</v>
      </c>
      <c r="D22" s="163">
        <v>21.31</v>
      </c>
      <c r="E22" s="200"/>
      <c r="F22" s="200"/>
      <c r="G22" s="200"/>
      <c r="H22" s="200"/>
      <c r="I22" s="200"/>
    </row>
    <row r="23" spans="1:9" x14ac:dyDescent="0.35">
      <c r="A23" s="163">
        <v>1</v>
      </c>
      <c r="B23" s="163" t="s">
        <v>67</v>
      </c>
      <c r="C23" s="183" t="s">
        <v>101</v>
      </c>
      <c r="D23" s="163">
        <v>5.68</v>
      </c>
      <c r="E23" s="200"/>
      <c r="F23" s="200"/>
      <c r="G23" s="200"/>
      <c r="H23" s="200"/>
      <c r="I23" s="200"/>
    </row>
    <row r="24" spans="1:9" x14ac:dyDescent="0.35">
      <c r="A24" s="163">
        <v>1</v>
      </c>
      <c r="B24" s="163" t="s">
        <v>405</v>
      </c>
      <c r="C24" s="183" t="s">
        <v>101</v>
      </c>
      <c r="D24" s="163">
        <v>17.02</v>
      </c>
      <c r="E24" s="200"/>
      <c r="F24" s="200"/>
      <c r="G24" s="200"/>
      <c r="H24" s="200"/>
      <c r="I24" s="200"/>
    </row>
    <row r="25" spans="1:9" x14ac:dyDescent="0.35">
      <c r="A25" s="163">
        <v>1</v>
      </c>
      <c r="B25" s="163" t="s">
        <v>406</v>
      </c>
      <c r="C25" s="183" t="s">
        <v>101</v>
      </c>
      <c r="D25" s="163">
        <v>21.33</v>
      </c>
      <c r="E25" s="200"/>
      <c r="F25" s="200"/>
      <c r="G25" s="200"/>
      <c r="H25" s="200"/>
      <c r="I25" s="200"/>
    </row>
    <row r="26" spans="1:9" x14ac:dyDescent="0.35">
      <c r="A26" s="163">
        <v>1</v>
      </c>
      <c r="B26" s="163" t="s">
        <v>407</v>
      </c>
      <c r="C26" s="183" t="s">
        <v>101</v>
      </c>
      <c r="D26" s="163">
        <v>5.63</v>
      </c>
      <c r="E26" s="200"/>
      <c r="F26" s="200"/>
      <c r="G26" s="200"/>
      <c r="H26" s="200"/>
      <c r="I26" s="200"/>
    </row>
    <row r="27" spans="1:9" x14ac:dyDescent="0.35">
      <c r="C27" s="182" t="s">
        <v>365</v>
      </c>
      <c r="D27" s="163">
        <f>SUM(D16:D26)</f>
        <v>454.36999999999995</v>
      </c>
      <c r="E27" s="200"/>
      <c r="F27" s="200"/>
      <c r="G27" s="200"/>
      <c r="H27" s="200"/>
      <c r="I27" s="200"/>
    </row>
  </sheetData>
  <mergeCells count="7">
    <mergeCell ref="E6:I27"/>
    <mergeCell ref="A14:D14"/>
    <mergeCell ref="A1:I1"/>
    <mergeCell ref="C2:F2"/>
    <mergeCell ref="C3:F3"/>
    <mergeCell ref="A5:I5"/>
    <mergeCell ref="C4:F4"/>
  </mergeCells>
  <pageMargins left="0.7" right="0.7" top="0.75" bottom="0.75" header="0.3" footer="0.3"/>
  <pageSetup paperSize="9" orientation="portrait" horizontalDpi="0" verticalDpi="0" r:id="rId1"/>
  <ignoredErrors>
    <ignoredError sqref="C16:C1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34"/>
  <sheetViews>
    <sheetView zoomScale="55" zoomScaleNormal="55" workbookViewId="0">
      <selection activeCell="E5" sqref="E5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13" x14ac:dyDescent="0.35">
      <c r="A1" s="196" t="s">
        <v>317</v>
      </c>
      <c r="B1" s="196"/>
      <c r="C1" s="196"/>
      <c r="D1" s="196"/>
      <c r="E1" s="196"/>
      <c r="F1" s="196"/>
      <c r="G1" s="196"/>
      <c r="H1" s="196"/>
      <c r="I1" s="196"/>
    </row>
    <row r="2" spans="1:13" ht="18" customHeight="1" x14ac:dyDescent="0.35">
      <c r="A2" s="180" t="s">
        <v>359</v>
      </c>
      <c r="B2" s="181" t="s">
        <v>366</v>
      </c>
      <c r="C2" s="197" t="s">
        <v>302</v>
      </c>
      <c r="D2" s="198"/>
      <c r="E2" s="198"/>
      <c r="F2" s="199"/>
      <c r="G2" s="167" t="s">
        <v>341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109</v>
      </c>
      <c r="C3" s="193" t="s">
        <v>102</v>
      </c>
      <c r="D3" s="194"/>
      <c r="E3" s="194"/>
      <c r="F3" s="195"/>
      <c r="G3" s="167" t="s">
        <v>374</v>
      </c>
      <c r="H3" s="180" t="s">
        <v>7</v>
      </c>
      <c r="I3" s="159">
        <f>D9</f>
        <v>84.51</v>
      </c>
    </row>
    <row r="4" spans="1:13" x14ac:dyDescent="0.35">
      <c r="A4" s="202"/>
      <c r="B4" s="202"/>
      <c r="C4" s="202"/>
      <c r="D4" s="202"/>
      <c r="E4" s="202"/>
      <c r="F4" s="202"/>
      <c r="G4" s="202"/>
      <c r="H4" s="202"/>
      <c r="I4" s="202"/>
    </row>
    <row r="5" spans="1:13" x14ac:dyDescent="0.35">
      <c r="A5" s="163" t="s">
        <v>361</v>
      </c>
      <c r="B5" s="163" t="s">
        <v>368</v>
      </c>
      <c r="C5" s="163" t="s">
        <v>36</v>
      </c>
      <c r="D5" s="163" t="s">
        <v>362</v>
      </c>
      <c r="E5" s="203"/>
      <c r="F5" s="204"/>
      <c r="G5" s="204"/>
      <c r="H5" s="204"/>
      <c r="I5" s="204"/>
    </row>
    <row r="6" spans="1:13" x14ac:dyDescent="0.35">
      <c r="A6" s="163">
        <v>1</v>
      </c>
      <c r="B6" s="163" t="s">
        <v>378</v>
      </c>
      <c r="C6" s="183" t="s">
        <v>375</v>
      </c>
      <c r="D6" s="163">
        <v>25.93</v>
      </c>
      <c r="E6" s="203"/>
      <c r="F6" s="204"/>
      <c r="G6" s="204"/>
      <c r="H6" s="204"/>
      <c r="I6" s="204"/>
    </row>
    <row r="7" spans="1:13" x14ac:dyDescent="0.35">
      <c r="A7" s="163" t="s">
        <v>100</v>
      </c>
      <c r="B7" s="163" t="s">
        <v>379</v>
      </c>
      <c r="C7" s="183" t="s">
        <v>376</v>
      </c>
      <c r="D7" s="163">
        <v>29.32</v>
      </c>
      <c r="E7" s="203"/>
      <c r="F7" s="204"/>
      <c r="G7" s="204"/>
      <c r="H7" s="204"/>
      <c r="I7" s="204"/>
    </row>
    <row r="8" spans="1:13" x14ac:dyDescent="0.35">
      <c r="A8" s="163" t="s">
        <v>100</v>
      </c>
      <c r="B8" s="163" t="s">
        <v>380</v>
      </c>
      <c r="C8" s="183" t="s">
        <v>377</v>
      </c>
      <c r="D8" s="163">
        <v>29.26</v>
      </c>
      <c r="E8" s="203"/>
      <c r="F8" s="204"/>
      <c r="G8" s="204"/>
      <c r="H8" s="204"/>
      <c r="I8" s="204"/>
    </row>
    <row r="9" spans="1:13" x14ac:dyDescent="0.35">
      <c r="C9" s="182" t="s">
        <v>365</v>
      </c>
      <c r="D9" s="163">
        <f>SUM(D6:D8)</f>
        <v>84.51</v>
      </c>
      <c r="E9" s="203"/>
      <c r="F9" s="204"/>
      <c r="G9" s="204"/>
      <c r="H9" s="204"/>
      <c r="I9" s="204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381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382</v>
      </c>
      <c r="L19" s="156">
        <v>0</v>
      </c>
      <c r="M19" s="156">
        <v>23.92</v>
      </c>
    </row>
    <row r="20" spans="1:13" x14ac:dyDescent="0.35">
      <c r="K20" s="185" t="s">
        <v>383</v>
      </c>
      <c r="L20" s="156">
        <v>8.5500000000000007</v>
      </c>
      <c r="M20" s="156">
        <v>0</v>
      </c>
    </row>
    <row r="21" spans="1:13" x14ac:dyDescent="0.35">
      <c r="K21" s="185" t="s">
        <v>384</v>
      </c>
      <c r="L21" s="156">
        <v>936.68</v>
      </c>
      <c r="M21" s="156">
        <v>453.05</v>
      </c>
    </row>
    <row r="22" spans="1:13" x14ac:dyDescent="0.35">
      <c r="K22" s="185" t="s">
        <v>385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386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382</v>
      </c>
    </row>
    <row r="32" spans="1:13" x14ac:dyDescent="0.35">
      <c r="K32" s="185" t="s">
        <v>383</v>
      </c>
    </row>
    <row r="33" spans="11:11" x14ac:dyDescent="0.35">
      <c r="K33" s="185" t="s">
        <v>384</v>
      </c>
    </row>
    <row r="34" spans="11:11" x14ac:dyDescent="0.35">
      <c r="K34" s="185" t="s">
        <v>385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7"/>
  <sheetViews>
    <sheetView zoomScale="55" zoomScaleNormal="55" workbookViewId="0">
      <selection activeCell="G22" sqref="G22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21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196" t="s">
        <v>317</v>
      </c>
      <c r="B1" s="196"/>
      <c r="C1" s="196"/>
      <c r="D1" s="196"/>
      <c r="E1" s="196"/>
      <c r="F1" s="196"/>
      <c r="G1" s="196"/>
      <c r="H1" s="196"/>
      <c r="I1" s="196"/>
    </row>
    <row r="2" spans="1:9" ht="18" customHeight="1" x14ac:dyDescent="0.35">
      <c r="A2" s="180" t="s">
        <v>359</v>
      </c>
      <c r="B2" s="181" t="s">
        <v>366</v>
      </c>
      <c r="C2" s="197" t="s">
        <v>302</v>
      </c>
      <c r="D2" s="198"/>
      <c r="E2" s="198"/>
      <c r="F2" s="199"/>
      <c r="G2" s="167" t="s">
        <v>341</v>
      </c>
      <c r="H2" s="180" t="s">
        <v>2</v>
      </c>
      <c r="I2" s="158" t="s">
        <v>4</v>
      </c>
    </row>
    <row r="3" spans="1:9" ht="73.2" customHeight="1" x14ac:dyDescent="0.35">
      <c r="A3" s="180">
        <v>1</v>
      </c>
      <c r="B3" s="181">
        <v>111</v>
      </c>
      <c r="C3" s="193" t="s">
        <v>185</v>
      </c>
      <c r="D3" s="194"/>
      <c r="E3" s="194"/>
      <c r="F3" s="195"/>
      <c r="G3" s="167" t="s">
        <v>373</v>
      </c>
      <c r="H3" s="180" t="s">
        <v>7</v>
      </c>
      <c r="I3" s="159">
        <f>D7</f>
        <v>46.62</v>
      </c>
    </row>
    <row r="4" spans="1:9" x14ac:dyDescent="0.35">
      <c r="A4" s="202"/>
      <c r="B4" s="202"/>
      <c r="C4" s="202"/>
      <c r="D4" s="202"/>
      <c r="E4" s="202"/>
      <c r="F4" s="202"/>
      <c r="G4" s="202"/>
      <c r="H4" s="202"/>
      <c r="I4" s="202"/>
    </row>
    <row r="5" spans="1:9" x14ac:dyDescent="0.35">
      <c r="A5" s="163" t="s">
        <v>361</v>
      </c>
      <c r="B5" s="163" t="s">
        <v>368</v>
      </c>
      <c r="C5" s="163" t="s">
        <v>36</v>
      </c>
      <c r="D5" s="163" t="s">
        <v>362</v>
      </c>
      <c r="E5" s="203"/>
      <c r="F5" s="204"/>
      <c r="G5" s="204"/>
      <c r="H5" s="204"/>
      <c r="I5" s="204"/>
    </row>
    <row r="6" spans="1:9" x14ac:dyDescent="0.35">
      <c r="A6" s="163" t="s">
        <v>100</v>
      </c>
      <c r="B6" s="163" t="s">
        <v>370</v>
      </c>
      <c r="C6" s="183" t="s">
        <v>371</v>
      </c>
      <c r="D6" s="163">
        <v>46.62</v>
      </c>
      <c r="E6" s="203"/>
      <c r="F6" s="204"/>
      <c r="G6" s="204"/>
      <c r="H6" s="204"/>
      <c r="I6" s="204"/>
    </row>
    <row r="7" spans="1:9" x14ac:dyDescent="0.35">
      <c r="C7" s="182" t="s">
        <v>365</v>
      </c>
      <c r="D7" s="163">
        <f>SUM(D6:D6)</f>
        <v>46.62</v>
      </c>
      <c r="E7" s="203"/>
      <c r="F7" s="204"/>
      <c r="G7" s="204"/>
      <c r="H7" s="204"/>
      <c r="I7" s="204"/>
    </row>
  </sheetData>
  <mergeCells count="5">
    <mergeCell ref="A1:I1"/>
    <mergeCell ref="C2:F2"/>
    <mergeCell ref="C3:F3"/>
    <mergeCell ref="A4:I4"/>
    <mergeCell ref="E5:I7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9"/>
  <sheetViews>
    <sheetView zoomScale="55" zoomScaleNormal="55" workbookViewId="0">
      <selection activeCell="L7" sqref="L7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8.332031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196" t="s">
        <v>317</v>
      </c>
      <c r="B1" s="196"/>
      <c r="C1" s="196"/>
      <c r="D1" s="196"/>
      <c r="E1" s="196"/>
      <c r="F1" s="196"/>
      <c r="G1" s="196"/>
      <c r="H1" s="196"/>
      <c r="I1" s="196"/>
    </row>
    <row r="2" spans="1:9" ht="18" customHeight="1" x14ac:dyDescent="0.35">
      <c r="A2" s="178" t="s">
        <v>359</v>
      </c>
      <c r="B2" s="179" t="s">
        <v>366</v>
      </c>
      <c r="C2" s="197" t="s">
        <v>302</v>
      </c>
      <c r="D2" s="198"/>
      <c r="E2" s="198"/>
      <c r="F2" s="199"/>
      <c r="G2" s="167" t="s">
        <v>341</v>
      </c>
      <c r="H2" s="178" t="s">
        <v>2</v>
      </c>
      <c r="I2" s="158" t="s">
        <v>4</v>
      </c>
    </row>
    <row r="3" spans="1:9" ht="73.2" customHeight="1" x14ac:dyDescent="0.35">
      <c r="A3" s="178">
        <v>1</v>
      </c>
      <c r="B3" s="179">
        <v>202</v>
      </c>
      <c r="C3" s="193" t="s">
        <v>367</v>
      </c>
      <c r="D3" s="194"/>
      <c r="E3" s="194"/>
      <c r="F3" s="195"/>
      <c r="G3" s="167" t="s">
        <v>372</v>
      </c>
      <c r="H3" s="178" t="s">
        <v>7</v>
      </c>
      <c r="I3" s="159">
        <f>D9</f>
        <v>487.97</v>
      </c>
    </row>
    <row r="4" spans="1:9" x14ac:dyDescent="0.35">
      <c r="A4" s="202"/>
      <c r="B4" s="202"/>
      <c r="C4" s="202"/>
      <c r="D4" s="202"/>
      <c r="E4" s="202"/>
      <c r="F4" s="202"/>
      <c r="G4" s="202"/>
      <c r="H4" s="202"/>
      <c r="I4" s="202"/>
    </row>
    <row r="5" spans="1:9" x14ac:dyDescent="0.35">
      <c r="A5" s="163" t="s">
        <v>361</v>
      </c>
      <c r="B5" s="163" t="s">
        <v>368</v>
      </c>
      <c r="C5" s="163" t="s">
        <v>36</v>
      </c>
      <c r="D5" s="163" t="s">
        <v>362</v>
      </c>
      <c r="E5" s="203"/>
      <c r="F5" s="204"/>
      <c r="G5" s="204"/>
      <c r="H5" s="204"/>
      <c r="I5" s="204"/>
    </row>
    <row r="6" spans="1:9" x14ac:dyDescent="0.35">
      <c r="A6" s="163" t="s">
        <v>100</v>
      </c>
      <c r="B6" s="163" t="s">
        <v>369</v>
      </c>
      <c r="C6" s="163">
        <v>6</v>
      </c>
      <c r="D6" s="163">
        <v>433.72</v>
      </c>
      <c r="E6" s="203"/>
      <c r="F6" s="204"/>
      <c r="G6" s="204"/>
      <c r="H6" s="204"/>
      <c r="I6" s="204"/>
    </row>
    <row r="7" spans="1:9" x14ac:dyDescent="0.35">
      <c r="A7" s="163" t="s">
        <v>100</v>
      </c>
      <c r="B7" s="163" t="s">
        <v>370</v>
      </c>
      <c r="C7" s="163">
        <v>7</v>
      </c>
      <c r="D7" s="163">
        <v>7.73</v>
      </c>
      <c r="E7" s="203"/>
      <c r="F7" s="204"/>
      <c r="G7" s="204"/>
      <c r="H7" s="204"/>
      <c r="I7" s="204"/>
    </row>
    <row r="8" spans="1:9" x14ac:dyDescent="0.35">
      <c r="A8" s="163" t="s">
        <v>100</v>
      </c>
      <c r="B8" s="163" t="s">
        <v>370</v>
      </c>
      <c r="C8" s="183" t="s">
        <v>371</v>
      </c>
      <c r="D8" s="163">
        <v>46.52</v>
      </c>
      <c r="E8" s="203"/>
      <c r="F8" s="204"/>
      <c r="G8" s="204"/>
      <c r="H8" s="204"/>
      <c r="I8" s="204"/>
    </row>
    <row r="9" spans="1:9" x14ac:dyDescent="0.35">
      <c r="C9" s="182" t="s">
        <v>365</v>
      </c>
      <c r="D9" s="163">
        <f>SUM(D6:D8)</f>
        <v>487.97</v>
      </c>
      <c r="E9" s="203"/>
      <c r="F9" s="204"/>
      <c r="G9" s="204"/>
      <c r="H9" s="204"/>
      <c r="I9" s="204"/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92" t="s">
        <v>48</v>
      </c>
      <c r="B1" s="192"/>
      <c r="C1" s="192"/>
      <c r="D1" s="192"/>
      <c r="E1" s="192"/>
      <c r="F1" s="192"/>
      <c r="G1" s="192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205" t="s">
        <v>108</v>
      </c>
      <c r="B1" s="206"/>
      <c r="C1" s="206"/>
      <c r="D1" s="206"/>
      <c r="E1" s="207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205" t="s">
        <v>107</v>
      </c>
      <c r="B1" s="206"/>
      <c r="C1" s="206"/>
      <c r="D1" s="206"/>
      <c r="E1" s="207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208" t="s">
        <v>110</v>
      </c>
      <c r="B1" s="209"/>
      <c r="C1" s="209"/>
      <c r="D1" s="209"/>
      <c r="E1" s="210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208" t="s">
        <v>111</v>
      </c>
      <c r="B1" s="209"/>
      <c r="C1" s="209"/>
      <c r="D1" s="209"/>
      <c r="E1" s="210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205" t="s">
        <v>109</v>
      </c>
      <c r="B1" s="206"/>
      <c r="C1" s="206"/>
      <c r="D1" s="206"/>
      <c r="E1" s="207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70"/>
  <sheetViews>
    <sheetView topLeftCell="A129" zoomScale="130" zoomScaleNormal="130" workbookViewId="0">
      <selection activeCell="C133" activeCellId="2" sqref="C159:D160 C147:D147 C133:D134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205" t="s">
        <v>48</v>
      </c>
      <c r="B1" s="206"/>
      <c r="C1" s="206"/>
      <c r="D1" s="206"/>
      <c r="E1" s="207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 t="e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#VALUE!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hidden="1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hidden="1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hidden="1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hidden="1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 t="e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#VALUE!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 t="e">
        <f t="shared" si="1"/>
        <v>#VALUE!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hidden="1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hidden="1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hidden="1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hidden="1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hidden="1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hidden="1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hidden="1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hidden="1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hidden="1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hidden="1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hidden="1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hidden="1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hidden="1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hidden="1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hidden="1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hidden="1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  <c r="F122">
        <v>2263</v>
      </c>
      <c r="G122">
        <v>1529</v>
      </c>
      <c r="H122">
        <v>1745</v>
      </c>
    </row>
    <row r="131" spans="1:4" x14ac:dyDescent="0.3">
      <c r="C131" s="63">
        <v>1</v>
      </c>
      <c r="D131">
        <v>4</v>
      </c>
    </row>
    <row r="132" spans="1:4" x14ac:dyDescent="0.3">
      <c r="A132" t="s">
        <v>388</v>
      </c>
      <c r="B132" s="186" t="s">
        <v>389</v>
      </c>
      <c r="C132" s="63">
        <v>0</v>
      </c>
      <c r="D132">
        <v>0</v>
      </c>
    </row>
    <row r="133" spans="1:4" x14ac:dyDescent="0.3">
      <c r="B133" s="186" t="s">
        <v>390</v>
      </c>
      <c r="C133" s="63">
        <v>11.69</v>
      </c>
      <c r="D133">
        <v>7.73</v>
      </c>
    </row>
    <row r="134" spans="1:4" x14ac:dyDescent="0.3">
      <c r="B134" s="186" t="s">
        <v>391</v>
      </c>
      <c r="C134" s="63">
        <v>0</v>
      </c>
      <c r="D134">
        <v>0</v>
      </c>
    </row>
    <row r="135" spans="1:4" x14ac:dyDescent="0.3">
      <c r="B135" s="186" t="s">
        <v>392</v>
      </c>
      <c r="C135" s="63">
        <v>13.62</v>
      </c>
      <c r="D135">
        <v>758.84</v>
      </c>
    </row>
    <row r="136" spans="1:4" x14ac:dyDescent="0.3">
      <c r="B136" s="186" t="s">
        <v>393</v>
      </c>
      <c r="C136" s="63">
        <v>0</v>
      </c>
      <c r="D136">
        <v>0</v>
      </c>
    </row>
    <row r="137" spans="1:4" x14ac:dyDescent="0.3">
      <c r="B137" s="186" t="s">
        <v>394</v>
      </c>
      <c r="C137" s="63">
        <v>43.85</v>
      </c>
      <c r="D137">
        <v>14.52</v>
      </c>
    </row>
    <row r="138" spans="1:4" x14ac:dyDescent="0.3">
      <c r="B138" s="186" t="s">
        <v>371</v>
      </c>
      <c r="C138" s="63">
        <v>0</v>
      </c>
      <c r="D138">
        <v>46.62</v>
      </c>
    </row>
    <row r="139" spans="1:4" x14ac:dyDescent="0.3">
      <c r="B139" s="186" t="s">
        <v>101</v>
      </c>
      <c r="C139" s="63">
        <v>0</v>
      </c>
      <c r="D139">
        <v>0</v>
      </c>
    </row>
    <row r="140" spans="1:4" x14ac:dyDescent="0.3">
      <c r="B140" s="186" t="s">
        <v>382</v>
      </c>
      <c r="C140" s="63">
        <v>0</v>
      </c>
      <c r="D140">
        <v>23.9</v>
      </c>
    </row>
    <row r="141" spans="1:4" x14ac:dyDescent="0.3">
      <c r="B141" s="186" t="s">
        <v>383</v>
      </c>
      <c r="C141" s="63">
        <v>8.5500000000000007</v>
      </c>
      <c r="D141">
        <v>0</v>
      </c>
    </row>
    <row r="142" spans="1:4" x14ac:dyDescent="0.3">
      <c r="B142" s="186" t="s">
        <v>384</v>
      </c>
      <c r="C142" s="63">
        <v>935.07</v>
      </c>
      <c r="D142">
        <v>453.24</v>
      </c>
    </row>
    <row r="143" spans="1:4" x14ac:dyDescent="0.3">
      <c r="B143" s="186" t="s">
        <v>385</v>
      </c>
      <c r="C143" s="63">
        <v>0</v>
      </c>
      <c r="D143">
        <v>0</v>
      </c>
    </row>
    <row r="144" spans="1:4" x14ac:dyDescent="0.3">
      <c r="B144" s="186"/>
    </row>
    <row r="145" spans="2:4" x14ac:dyDescent="0.3">
      <c r="B145" s="186" t="s">
        <v>389</v>
      </c>
      <c r="C145" s="63">
        <v>0</v>
      </c>
      <c r="D145">
        <v>72.94</v>
      </c>
    </row>
    <row r="146" spans="2:4" x14ac:dyDescent="0.3">
      <c r="B146" s="186" t="s">
        <v>390</v>
      </c>
      <c r="C146" s="63">
        <v>0</v>
      </c>
      <c r="D146">
        <v>0</v>
      </c>
    </row>
    <row r="147" spans="2:4" x14ac:dyDescent="0.3">
      <c r="B147" s="186" t="s">
        <v>391</v>
      </c>
      <c r="C147" s="63">
        <v>8.2799999999999994</v>
      </c>
      <c r="D147">
        <v>8.09</v>
      </c>
    </row>
    <row r="148" spans="2:4" x14ac:dyDescent="0.3">
      <c r="B148" s="186" t="s">
        <v>392</v>
      </c>
      <c r="C148" s="63">
        <v>0</v>
      </c>
      <c r="D148">
        <v>0</v>
      </c>
    </row>
    <row r="149" spans="2:4" x14ac:dyDescent="0.3">
      <c r="B149" s="186" t="s">
        <v>393</v>
      </c>
      <c r="C149" s="63">
        <v>13.62</v>
      </c>
      <c r="D149">
        <v>76.59</v>
      </c>
    </row>
    <row r="150" spans="2:4" x14ac:dyDescent="0.3">
      <c r="B150" s="186" t="s">
        <v>394</v>
      </c>
      <c r="C150" s="63">
        <v>0</v>
      </c>
      <c r="D150">
        <v>0</v>
      </c>
    </row>
    <row r="151" spans="2:4" x14ac:dyDescent="0.3">
      <c r="B151" s="186" t="s">
        <v>371</v>
      </c>
      <c r="C151" s="63">
        <v>0</v>
      </c>
      <c r="D151">
        <v>0</v>
      </c>
    </row>
    <row r="152" spans="2:4" x14ac:dyDescent="0.3">
      <c r="B152" s="186" t="s">
        <v>101</v>
      </c>
      <c r="C152" s="63">
        <v>43.43</v>
      </c>
      <c r="D152">
        <v>119.37</v>
      </c>
    </row>
    <row r="153" spans="2:4" x14ac:dyDescent="0.3">
      <c r="B153" s="186" t="s">
        <v>382</v>
      </c>
      <c r="C153" s="63">
        <v>0</v>
      </c>
      <c r="D153">
        <v>0</v>
      </c>
    </row>
    <row r="154" spans="2:4" x14ac:dyDescent="0.3">
      <c r="B154" s="186" t="s">
        <v>383</v>
      </c>
      <c r="C154" s="63">
        <v>0</v>
      </c>
      <c r="D154">
        <v>0</v>
      </c>
    </row>
    <row r="155" spans="2:4" x14ac:dyDescent="0.3">
      <c r="B155" s="186" t="s">
        <v>384</v>
      </c>
      <c r="C155" s="63">
        <v>0</v>
      </c>
      <c r="D155">
        <v>0</v>
      </c>
    </row>
    <row r="156" spans="2:4" x14ac:dyDescent="0.3">
      <c r="B156" s="186" t="s">
        <v>385</v>
      </c>
      <c r="C156" s="63">
        <v>0</v>
      </c>
      <c r="D156">
        <v>0</v>
      </c>
    </row>
    <row r="157" spans="2:4" x14ac:dyDescent="0.3">
      <c r="B157" s="186"/>
    </row>
    <row r="158" spans="2:4" x14ac:dyDescent="0.3">
      <c r="B158" s="186" t="s">
        <v>389</v>
      </c>
      <c r="C158" s="63">
        <v>0</v>
      </c>
      <c r="D158">
        <v>0</v>
      </c>
    </row>
    <row r="159" spans="2:4" x14ac:dyDescent="0.3">
      <c r="B159" s="186" t="s">
        <v>390</v>
      </c>
      <c r="C159" s="63">
        <v>0</v>
      </c>
      <c r="D159">
        <v>0</v>
      </c>
    </row>
    <row r="160" spans="2:4" x14ac:dyDescent="0.3">
      <c r="B160" s="186" t="s">
        <v>391</v>
      </c>
      <c r="C160" s="63">
        <v>6.03</v>
      </c>
      <c r="D160">
        <v>5.95</v>
      </c>
    </row>
    <row r="161" spans="2:4" x14ac:dyDescent="0.3">
      <c r="B161" s="186" t="s">
        <v>392</v>
      </c>
      <c r="C161" s="63">
        <v>0</v>
      </c>
      <c r="D161">
        <v>0</v>
      </c>
    </row>
    <row r="162" spans="2:4" x14ac:dyDescent="0.3">
      <c r="B162" s="186" t="s">
        <v>393</v>
      </c>
      <c r="C162" s="63">
        <v>13.62</v>
      </c>
      <c r="D162">
        <v>15.08</v>
      </c>
    </row>
    <row r="163" spans="2:4" x14ac:dyDescent="0.3">
      <c r="B163" s="186" t="s">
        <v>394</v>
      </c>
      <c r="C163" s="63">
        <v>0</v>
      </c>
      <c r="D163">
        <v>0</v>
      </c>
    </row>
    <row r="164" spans="2:4" x14ac:dyDescent="0.3">
      <c r="B164" s="186" t="s">
        <v>371</v>
      </c>
      <c r="C164" s="63">
        <v>0</v>
      </c>
      <c r="D164">
        <v>0</v>
      </c>
    </row>
    <row r="165" spans="2:4" x14ac:dyDescent="0.3">
      <c r="B165" s="186" t="s">
        <v>101</v>
      </c>
      <c r="C165" s="63">
        <v>43.43</v>
      </c>
      <c r="D165">
        <v>0</v>
      </c>
    </row>
    <row r="166" spans="2:4" x14ac:dyDescent="0.3">
      <c r="B166" s="186" t="s">
        <v>382</v>
      </c>
      <c r="C166" s="63">
        <v>0</v>
      </c>
      <c r="D166">
        <v>0</v>
      </c>
    </row>
    <row r="167" spans="2:4" x14ac:dyDescent="0.3">
      <c r="B167" s="186" t="s">
        <v>383</v>
      </c>
      <c r="C167" s="63">
        <v>0</v>
      </c>
      <c r="D167">
        <v>0</v>
      </c>
    </row>
    <row r="168" spans="2:4" x14ac:dyDescent="0.3">
      <c r="B168" s="186" t="s">
        <v>384</v>
      </c>
      <c r="C168" s="63">
        <v>0</v>
      </c>
      <c r="D168">
        <v>0</v>
      </c>
    </row>
    <row r="169" spans="2:4" x14ac:dyDescent="0.3">
      <c r="B169" s="186" t="s">
        <v>385</v>
      </c>
      <c r="C169" s="63">
        <v>0</v>
      </c>
      <c r="D169">
        <v>0</v>
      </c>
    </row>
    <row r="170" spans="2:4" x14ac:dyDescent="0.3">
      <c r="B170" s="186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workbookViewId="0">
      <selection activeCell="F8" sqref="F8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topLeftCell="A34" zoomScale="115" zoomScaleNormal="115" workbookViewId="0">
      <selection activeCell="E41" sqref="E41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08" t="s">
        <v>110</v>
      </c>
      <c r="B1" s="209"/>
      <c r="C1" s="209"/>
      <c r="D1" s="209"/>
      <c r="E1" s="210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208" t="s">
        <v>110</v>
      </c>
      <c r="B7" s="209"/>
      <c r="C7" s="209"/>
      <c r="D7" s="209"/>
      <c r="E7" s="210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208" t="s">
        <v>48</v>
      </c>
      <c r="B13" s="209"/>
      <c r="C13" s="209"/>
      <c r="D13" s="209"/>
      <c r="E13" s="210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11" t="s">
        <v>111</v>
      </c>
      <c r="B1" s="211"/>
      <c r="C1" s="211"/>
      <c r="D1" s="211"/>
      <c r="E1" s="211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211" t="s">
        <v>111</v>
      </c>
      <c r="B7" s="211"/>
      <c r="C7" s="211"/>
      <c r="D7" s="211"/>
      <c r="E7" s="211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211" t="s">
        <v>111</v>
      </c>
      <c r="B14" s="211"/>
      <c r="C14" s="211"/>
      <c r="D14" s="211"/>
      <c r="E14" s="211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211" t="s">
        <v>109</v>
      </c>
      <c r="B1" s="211"/>
      <c r="C1" s="211"/>
      <c r="D1" s="211"/>
      <c r="E1" s="211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211" t="s">
        <v>109</v>
      </c>
      <c r="B6" s="211"/>
      <c r="C6" s="211"/>
      <c r="D6" s="211"/>
      <c r="E6" s="211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"/>
  <sheetViews>
    <sheetView zoomScale="55" zoomScaleNormal="55" workbookViewId="0">
      <selection activeCell="B9" sqref="B9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196" t="s">
        <v>317</v>
      </c>
      <c r="B1" s="196"/>
      <c r="C1" s="196"/>
      <c r="D1" s="196"/>
      <c r="E1" s="196"/>
      <c r="F1" s="196"/>
      <c r="G1" s="196"/>
      <c r="H1" s="196"/>
    </row>
    <row r="2" spans="1:8" ht="18" customHeight="1" x14ac:dyDescent="0.35">
      <c r="A2" s="175" t="s">
        <v>359</v>
      </c>
      <c r="B2" s="197" t="s">
        <v>302</v>
      </c>
      <c r="C2" s="198"/>
      <c r="D2" s="198"/>
      <c r="E2" s="199"/>
      <c r="F2" s="167" t="s">
        <v>341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193" t="s">
        <v>16</v>
      </c>
      <c r="C3" s="194"/>
      <c r="D3" s="194"/>
      <c r="E3" s="195"/>
      <c r="F3" s="167" t="s">
        <v>360</v>
      </c>
      <c r="G3" s="175" t="s">
        <v>7</v>
      </c>
      <c r="H3" s="159">
        <f>D9</f>
        <v>47.740000000000009</v>
      </c>
    </row>
    <row r="4" spans="1:8" ht="40.799999999999997" customHeight="1" x14ac:dyDescent="0.35">
      <c r="A4" s="184">
        <v>2</v>
      </c>
      <c r="B4" s="193" t="s">
        <v>14</v>
      </c>
      <c r="C4" s="194"/>
      <c r="D4" s="194"/>
      <c r="E4" s="195"/>
      <c r="F4" s="167" t="s">
        <v>360</v>
      </c>
      <c r="G4" s="184" t="s">
        <v>7</v>
      </c>
      <c r="H4" s="159">
        <f>H3</f>
        <v>47.740000000000009</v>
      </c>
    </row>
    <row r="5" spans="1:8" x14ac:dyDescent="0.35">
      <c r="A5" s="202"/>
      <c r="B5" s="202"/>
      <c r="C5" s="202"/>
      <c r="D5" s="202"/>
      <c r="E5" s="202"/>
      <c r="F5" s="202"/>
      <c r="G5" s="202"/>
      <c r="H5" s="202"/>
    </row>
    <row r="6" spans="1:8" x14ac:dyDescent="0.35">
      <c r="A6" s="163" t="s">
        <v>361</v>
      </c>
      <c r="B6" s="163" t="s">
        <v>362</v>
      </c>
      <c r="C6" s="163" t="s">
        <v>363</v>
      </c>
      <c r="D6" s="163" t="s">
        <v>364</v>
      </c>
      <c r="E6" s="203"/>
      <c r="F6" s="204"/>
      <c r="G6" s="204"/>
      <c r="H6" s="204"/>
    </row>
    <row r="7" spans="1:8" x14ac:dyDescent="0.35">
      <c r="A7" s="163">
        <v>1</v>
      </c>
      <c r="B7" s="163">
        <v>11.69</v>
      </c>
      <c r="C7" s="163">
        <v>8.2799999999999994</v>
      </c>
      <c r="D7" s="163">
        <v>6.03</v>
      </c>
      <c r="E7" s="203"/>
      <c r="F7" s="204"/>
      <c r="G7" s="204"/>
      <c r="H7" s="204"/>
    </row>
    <row r="8" spans="1:8" x14ac:dyDescent="0.35">
      <c r="A8" s="163" t="s">
        <v>100</v>
      </c>
      <c r="B8" s="163">
        <v>7.73</v>
      </c>
      <c r="C8" s="163">
        <v>8.09</v>
      </c>
      <c r="D8" s="163">
        <v>5.92</v>
      </c>
      <c r="E8" s="203"/>
      <c r="F8" s="204"/>
      <c r="G8" s="204"/>
      <c r="H8" s="204"/>
    </row>
    <row r="9" spans="1:8" x14ac:dyDescent="0.35">
      <c r="C9" s="163" t="s">
        <v>365</v>
      </c>
      <c r="D9" s="163">
        <f>SUM(B7:D8)</f>
        <v>47.740000000000009</v>
      </c>
      <c r="E9" s="203"/>
      <c r="F9" s="204"/>
      <c r="G9" s="204"/>
      <c r="H9" s="204"/>
    </row>
  </sheetData>
  <mergeCells count="6">
    <mergeCell ref="A1:H1"/>
    <mergeCell ref="B2:E2"/>
    <mergeCell ref="B3:E3"/>
    <mergeCell ref="A5:H5"/>
    <mergeCell ref="E6:H9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6" sqref="B36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96" t="s">
        <v>317</v>
      </c>
      <c r="B1" s="196"/>
      <c r="C1" s="196"/>
      <c r="D1" s="196"/>
      <c r="E1" s="196"/>
    </row>
    <row r="2" spans="1:5" ht="18" customHeight="1" x14ac:dyDescent="0.35">
      <c r="A2" s="177" t="s">
        <v>359</v>
      </c>
      <c r="B2" s="177" t="s">
        <v>302</v>
      </c>
      <c r="C2" s="167" t="s">
        <v>341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13" sqref="A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6" t="s">
        <v>317</v>
      </c>
      <c r="B1" s="196"/>
      <c r="C1" s="196"/>
      <c r="D1" s="196"/>
      <c r="E1" s="196"/>
      <c r="F1" s="196"/>
    </row>
    <row r="2" spans="1:6" ht="18" customHeight="1" x14ac:dyDescent="0.35">
      <c r="A2" s="197" t="s">
        <v>302</v>
      </c>
      <c r="B2" s="198"/>
      <c r="C2" s="199"/>
      <c r="D2" s="167" t="s">
        <v>341</v>
      </c>
      <c r="E2" s="173" t="s">
        <v>2</v>
      </c>
      <c r="F2" s="158" t="s">
        <v>4</v>
      </c>
    </row>
    <row r="3" spans="1:6" ht="67.2" customHeight="1" x14ac:dyDescent="0.35">
      <c r="A3" s="193" t="s">
        <v>356</v>
      </c>
      <c r="B3" s="194"/>
      <c r="C3" s="195"/>
      <c r="D3" s="167" t="s">
        <v>343</v>
      </c>
      <c r="E3" s="173" t="s">
        <v>7</v>
      </c>
      <c r="F3" s="159">
        <f>B9</f>
        <v>1888.15</v>
      </c>
    </row>
    <row r="4" spans="1:6" ht="36" x14ac:dyDescent="0.35">
      <c r="A4" s="160" t="s">
        <v>318</v>
      </c>
      <c r="B4" s="160" t="s">
        <v>319</v>
      </c>
      <c r="C4" s="212"/>
      <c r="D4" s="213"/>
      <c r="E4" s="213"/>
      <c r="F4" s="213"/>
    </row>
    <row r="5" spans="1:6" x14ac:dyDescent="0.35">
      <c r="A5" s="161" t="s">
        <v>344</v>
      </c>
      <c r="B5" s="162">
        <v>379.31</v>
      </c>
      <c r="C5" s="214"/>
      <c r="D5" s="215"/>
      <c r="E5" s="215"/>
      <c r="F5" s="215"/>
    </row>
    <row r="6" spans="1:6" x14ac:dyDescent="0.35">
      <c r="A6" s="161" t="s">
        <v>345</v>
      </c>
      <c r="B6" s="162">
        <v>381.65</v>
      </c>
      <c r="C6" s="214"/>
      <c r="D6" s="215"/>
      <c r="E6" s="215"/>
      <c r="F6" s="215"/>
    </row>
    <row r="7" spans="1:6" x14ac:dyDescent="0.35">
      <c r="A7" s="161" t="s">
        <v>346</v>
      </c>
      <c r="B7" s="162">
        <v>563.46</v>
      </c>
      <c r="C7" s="214"/>
      <c r="D7" s="215"/>
      <c r="E7" s="215"/>
      <c r="F7" s="215"/>
    </row>
    <row r="8" spans="1:6" x14ac:dyDescent="0.35">
      <c r="A8" s="161" t="s">
        <v>347</v>
      </c>
      <c r="B8" s="162">
        <v>563.73</v>
      </c>
      <c r="C8" s="214"/>
      <c r="D8" s="215"/>
      <c r="E8" s="215"/>
      <c r="F8" s="215"/>
    </row>
    <row r="9" spans="1:6" x14ac:dyDescent="0.35">
      <c r="A9" s="163" t="s">
        <v>337</v>
      </c>
      <c r="B9" s="162">
        <f>SUM(B5:B8)</f>
        <v>1888.15</v>
      </c>
      <c r="C9" s="214"/>
      <c r="D9" s="215"/>
      <c r="E9" s="215"/>
      <c r="F9" s="215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F8" sqref="F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96" t="s">
        <v>317</v>
      </c>
      <c r="B1" s="196"/>
      <c r="C1" s="196"/>
      <c r="D1" s="196"/>
      <c r="E1" s="196"/>
    </row>
    <row r="2" spans="1:5" ht="18" customHeight="1" x14ac:dyDescent="0.35">
      <c r="A2" s="180" t="s">
        <v>359</v>
      </c>
      <c r="B2" s="180" t="s">
        <v>302</v>
      </c>
      <c r="C2" s="167" t="s">
        <v>341</v>
      </c>
      <c r="D2" s="180" t="s">
        <v>2</v>
      </c>
      <c r="E2" s="158" t="s">
        <v>4</v>
      </c>
    </row>
    <row r="3" spans="1:5" ht="40.799999999999997" customHeight="1" x14ac:dyDescent="0.35">
      <c r="A3" s="180">
        <v>1</v>
      </c>
      <c r="B3" s="176" t="s">
        <v>26</v>
      </c>
      <c r="C3" s="167" t="s">
        <v>44</v>
      </c>
      <c r="D3" s="180" t="s">
        <v>7</v>
      </c>
      <c r="E3" s="159">
        <v>298.10000000000002</v>
      </c>
    </row>
  </sheetData>
  <mergeCells count="1">
    <mergeCell ref="A1:E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8" sqref="B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96" t="s">
        <v>317</v>
      </c>
      <c r="B1" s="196"/>
      <c r="C1" s="196"/>
      <c r="D1" s="196"/>
      <c r="E1" s="196"/>
    </row>
    <row r="2" spans="1:5" ht="18" customHeight="1" x14ac:dyDescent="0.35">
      <c r="A2" s="174" t="s">
        <v>359</v>
      </c>
      <c r="B2" s="174" t="s">
        <v>302</v>
      </c>
      <c r="C2" s="167" t="s">
        <v>341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B11" sqref="B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6" t="s">
        <v>317</v>
      </c>
      <c r="B1" s="196"/>
      <c r="C1" s="196"/>
      <c r="D1" s="196"/>
      <c r="E1" s="196"/>
      <c r="F1" s="196"/>
    </row>
    <row r="2" spans="1:6" ht="18" customHeight="1" x14ac:dyDescent="0.35">
      <c r="A2" s="197" t="s">
        <v>302</v>
      </c>
      <c r="B2" s="198"/>
      <c r="C2" s="199"/>
      <c r="D2" s="167" t="s">
        <v>341</v>
      </c>
      <c r="E2" s="166" t="s">
        <v>2</v>
      </c>
      <c r="F2" s="158" t="s">
        <v>4</v>
      </c>
    </row>
    <row r="3" spans="1:6" ht="34.799999999999997" customHeight="1" x14ac:dyDescent="0.35">
      <c r="A3" s="193" t="s">
        <v>352</v>
      </c>
      <c r="B3" s="194"/>
      <c r="C3" s="195"/>
      <c r="D3" s="167" t="s">
        <v>354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193" t="s">
        <v>352</v>
      </c>
      <c r="B4" s="194"/>
      <c r="C4" s="195"/>
      <c r="D4" s="167" t="s">
        <v>355</v>
      </c>
      <c r="E4" s="166" t="s">
        <v>7</v>
      </c>
      <c r="F4" s="159">
        <f>B11</f>
        <v>1888.15</v>
      </c>
    </row>
    <row r="5" spans="1:6" ht="34.799999999999997" customHeight="1" x14ac:dyDescent="0.35">
      <c r="A5" s="197" t="s">
        <v>343</v>
      </c>
      <c r="B5" s="199"/>
      <c r="C5" s="216"/>
      <c r="D5" s="217"/>
      <c r="E5" s="197" t="s">
        <v>353</v>
      </c>
      <c r="F5" s="199"/>
    </row>
    <row r="6" spans="1:6" ht="36" x14ac:dyDescent="0.35">
      <c r="A6" s="160" t="s">
        <v>318</v>
      </c>
      <c r="B6" s="160" t="s">
        <v>319</v>
      </c>
      <c r="C6" s="218"/>
      <c r="D6" s="219"/>
      <c r="E6" s="160" t="s">
        <v>318</v>
      </c>
      <c r="F6" s="160" t="s">
        <v>319</v>
      </c>
    </row>
    <row r="7" spans="1:6" x14ac:dyDescent="0.35">
      <c r="A7" s="161" t="s">
        <v>344</v>
      </c>
      <c r="B7" s="162">
        <v>379.31</v>
      </c>
      <c r="C7" s="218"/>
      <c r="D7" s="219"/>
      <c r="E7" s="161" t="s">
        <v>348</v>
      </c>
      <c r="F7" s="162">
        <v>37.200000000000003</v>
      </c>
    </row>
    <row r="8" spans="1:6" x14ac:dyDescent="0.35">
      <c r="A8" s="161" t="s">
        <v>345</v>
      </c>
      <c r="B8" s="162">
        <v>381.65</v>
      </c>
      <c r="C8" s="218"/>
      <c r="D8" s="219"/>
      <c r="E8" s="161" t="s">
        <v>349</v>
      </c>
      <c r="F8" s="162">
        <v>56.31</v>
      </c>
    </row>
    <row r="9" spans="1:6" x14ac:dyDescent="0.35">
      <c r="A9" s="161" t="s">
        <v>346</v>
      </c>
      <c r="B9" s="162">
        <v>563.46</v>
      </c>
      <c r="C9" s="218"/>
      <c r="D9" s="219"/>
      <c r="E9" s="161" t="s">
        <v>350</v>
      </c>
      <c r="F9" s="162">
        <v>10.119999999999999</v>
      </c>
    </row>
    <row r="10" spans="1:6" x14ac:dyDescent="0.35">
      <c r="A10" s="161" t="s">
        <v>347</v>
      </c>
      <c r="B10" s="162">
        <v>563.73</v>
      </c>
      <c r="C10" s="218"/>
      <c r="D10" s="219"/>
      <c r="E10" s="161" t="s">
        <v>351</v>
      </c>
      <c r="F10" s="162">
        <v>11.97</v>
      </c>
    </row>
    <row r="11" spans="1:6" x14ac:dyDescent="0.35">
      <c r="A11" s="163" t="s">
        <v>337</v>
      </c>
      <c r="B11" s="162">
        <f>SUM(B7:B10)</f>
        <v>1888.15</v>
      </c>
      <c r="C11" s="218"/>
      <c r="D11" s="219"/>
      <c r="E11" s="163" t="s">
        <v>337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D16" sqref="D16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6" t="s">
        <v>317</v>
      </c>
      <c r="B1" s="196"/>
      <c r="C1" s="196"/>
      <c r="D1" s="196"/>
      <c r="E1" s="196"/>
      <c r="F1" s="196"/>
    </row>
    <row r="2" spans="1:6" ht="18" customHeight="1" x14ac:dyDescent="0.35">
      <c r="A2" s="197" t="s">
        <v>302</v>
      </c>
      <c r="B2" s="198"/>
      <c r="C2" s="199"/>
      <c r="D2" s="167" t="s">
        <v>341</v>
      </c>
      <c r="E2" s="166" t="s">
        <v>2</v>
      </c>
      <c r="F2" s="158" t="s">
        <v>4</v>
      </c>
    </row>
    <row r="3" spans="1:6" ht="57.6" customHeight="1" x14ac:dyDescent="0.35">
      <c r="A3" s="193" t="s">
        <v>357</v>
      </c>
      <c r="B3" s="194"/>
      <c r="C3" s="195"/>
      <c r="D3" s="167" t="s">
        <v>358</v>
      </c>
      <c r="E3" s="166" t="s">
        <v>7</v>
      </c>
      <c r="F3" s="159">
        <f>B9</f>
        <v>1923.9773</v>
      </c>
    </row>
    <row r="4" spans="1:6" ht="36" x14ac:dyDescent="0.35">
      <c r="A4" s="160" t="s">
        <v>318</v>
      </c>
      <c r="B4" s="160" t="s">
        <v>319</v>
      </c>
      <c r="C4" s="212"/>
      <c r="D4" s="213"/>
      <c r="E4" s="213"/>
      <c r="F4" s="213"/>
    </row>
    <row r="5" spans="1:6" x14ac:dyDescent="0.35">
      <c r="A5" s="161" t="s">
        <v>344</v>
      </c>
      <c r="B5" s="162">
        <f>379.31+(84.163-4)*0.1</f>
        <v>387.3263</v>
      </c>
      <c r="C5" s="214"/>
      <c r="D5" s="215"/>
      <c r="E5" s="215"/>
      <c r="F5" s="215"/>
    </row>
    <row r="6" spans="1:6" x14ac:dyDescent="0.35">
      <c r="A6" s="161" t="s">
        <v>345</v>
      </c>
      <c r="B6" s="162">
        <f>381.65+(83.53-2.2-1.8)*0.1</f>
        <v>389.60299999999995</v>
      </c>
      <c r="C6" s="214"/>
      <c r="D6" s="215"/>
      <c r="E6" s="215"/>
      <c r="F6" s="215"/>
    </row>
    <row r="7" spans="1:6" x14ac:dyDescent="0.35">
      <c r="A7" s="161" t="s">
        <v>346</v>
      </c>
      <c r="B7" s="162">
        <f>563.46+(102.28-1.5-2.2)*0.1</f>
        <v>573.31799999999998</v>
      </c>
      <c r="C7" s="214"/>
      <c r="D7" s="215"/>
      <c r="E7" s="215"/>
      <c r="F7" s="215"/>
    </row>
    <row r="8" spans="1:6" x14ac:dyDescent="0.35">
      <c r="A8" s="161" t="s">
        <v>347</v>
      </c>
      <c r="B8" s="162">
        <f>563.73+10</f>
        <v>573.73</v>
      </c>
      <c r="C8" s="214"/>
      <c r="D8" s="215"/>
      <c r="E8" s="215"/>
      <c r="F8" s="215"/>
    </row>
    <row r="9" spans="1:6" x14ac:dyDescent="0.35">
      <c r="A9" s="163" t="s">
        <v>337</v>
      </c>
      <c r="B9" s="162">
        <f>SUM(B5:B8)</f>
        <v>1923.9773</v>
      </c>
      <c r="C9" s="214"/>
      <c r="D9" s="215"/>
      <c r="E9" s="215"/>
      <c r="F9" s="215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R57"/>
  <sheetViews>
    <sheetView topLeftCell="B25" zoomScale="55" zoomScaleNormal="55" workbookViewId="0">
      <selection activeCell="N49" sqref="N49:O4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1" width="8.88671875" style="156"/>
    <col min="12" max="12" width="10" style="156" bestFit="1" customWidth="1"/>
    <col min="13" max="13" width="10.77734375" style="156" bestFit="1" customWidth="1"/>
    <col min="14" max="16384" width="8.88671875" style="156"/>
  </cols>
  <sheetData>
    <row r="1" spans="1:13" x14ac:dyDescent="0.35">
      <c r="A1" s="196" t="s">
        <v>317</v>
      </c>
      <c r="B1" s="196"/>
      <c r="C1" s="196"/>
      <c r="D1" s="196"/>
      <c r="E1" s="196"/>
      <c r="F1" s="196"/>
      <c r="G1" s="196"/>
      <c r="H1" s="196"/>
      <c r="I1" s="196"/>
    </row>
    <row r="2" spans="1:13" ht="18" customHeight="1" x14ac:dyDescent="0.35">
      <c r="A2" s="180" t="s">
        <v>359</v>
      </c>
      <c r="B2" s="181" t="s">
        <v>366</v>
      </c>
      <c r="C2" s="197" t="s">
        <v>302</v>
      </c>
      <c r="D2" s="198"/>
      <c r="E2" s="198"/>
      <c r="F2" s="199"/>
      <c r="G2" s="167" t="s">
        <v>341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48</v>
      </c>
      <c r="C3" s="193" t="s">
        <v>14</v>
      </c>
      <c r="D3" s="194"/>
      <c r="E3" s="194"/>
      <c r="F3" s="195"/>
      <c r="G3" s="167" t="s">
        <v>387</v>
      </c>
      <c r="H3" s="180" t="s">
        <v>7</v>
      </c>
      <c r="I3" s="159">
        <f>D9</f>
        <v>84.51</v>
      </c>
    </row>
    <row r="4" spans="1:13" x14ac:dyDescent="0.35">
      <c r="A4" s="202"/>
      <c r="B4" s="202"/>
      <c r="C4" s="202"/>
      <c r="D4" s="202"/>
      <c r="E4" s="202"/>
      <c r="F4" s="202"/>
      <c r="G4" s="202"/>
      <c r="H4" s="202"/>
      <c r="I4" s="202"/>
    </row>
    <row r="5" spans="1:13" x14ac:dyDescent="0.35">
      <c r="A5" s="163" t="s">
        <v>361</v>
      </c>
      <c r="B5" s="163" t="s">
        <v>368</v>
      </c>
      <c r="C5" s="163" t="s">
        <v>36</v>
      </c>
      <c r="D5" s="163" t="s">
        <v>362</v>
      </c>
      <c r="E5" s="203"/>
      <c r="F5" s="204"/>
      <c r="G5" s="204"/>
      <c r="H5" s="204"/>
      <c r="I5" s="204"/>
    </row>
    <row r="6" spans="1:13" x14ac:dyDescent="0.35">
      <c r="A6" s="163">
        <v>1</v>
      </c>
      <c r="B6" s="163" t="s">
        <v>378</v>
      </c>
      <c r="C6" s="183" t="s">
        <v>375</v>
      </c>
      <c r="D6" s="163">
        <v>25.93</v>
      </c>
      <c r="E6" s="203"/>
      <c r="F6" s="204"/>
      <c r="G6" s="204"/>
      <c r="H6" s="204"/>
      <c r="I6" s="204"/>
    </row>
    <row r="7" spans="1:13" x14ac:dyDescent="0.35">
      <c r="A7" s="163" t="s">
        <v>100</v>
      </c>
      <c r="B7" s="163" t="s">
        <v>379</v>
      </c>
      <c r="C7" s="183" t="s">
        <v>376</v>
      </c>
      <c r="D7" s="163">
        <v>29.32</v>
      </c>
      <c r="E7" s="203"/>
      <c r="F7" s="204"/>
      <c r="G7" s="204"/>
      <c r="H7" s="204"/>
      <c r="I7" s="204"/>
    </row>
    <row r="8" spans="1:13" x14ac:dyDescent="0.35">
      <c r="A8" s="163" t="s">
        <v>100</v>
      </c>
      <c r="B8" s="163" t="s">
        <v>380</v>
      </c>
      <c r="C8" s="183" t="s">
        <v>377</v>
      </c>
      <c r="D8" s="163">
        <v>29.26</v>
      </c>
      <c r="E8" s="203"/>
      <c r="F8" s="204"/>
      <c r="G8" s="204"/>
      <c r="H8" s="204"/>
      <c r="I8" s="204"/>
    </row>
    <row r="9" spans="1:13" x14ac:dyDescent="0.35">
      <c r="C9" s="182" t="s">
        <v>365</v>
      </c>
      <c r="D9" s="163">
        <f>SUM(D6:D8)</f>
        <v>84.51</v>
      </c>
      <c r="E9" s="203"/>
      <c r="F9" s="204"/>
      <c r="G9" s="204"/>
      <c r="H9" s="204"/>
      <c r="I9" s="204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381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382</v>
      </c>
      <c r="L19" s="156">
        <v>0</v>
      </c>
      <c r="M19" s="156">
        <v>23.92</v>
      </c>
    </row>
    <row r="20" spans="1:13" x14ac:dyDescent="0.35">
      <c r="K20" s="185" t="s">
        <v>383</v>
      </c>
      <c r="L20" s="156">
        <v>8.5500000000000007</v>
      </c>
      <c r="M20" s="156">
        <v>0</v>
      </c>
    </row>
    <row r="21" spans="1:13" x14ac:dyDescent="0.35">
      <c r="K21" s="185" t="s">
        <v>384</v>
      </c>
      <c r="L21" s="156">
        <v>936.68</v>
      </c>
      <c r="M21" s="156">
        <v>453.05</v>
      </c>
    </row>
    <row r="22" spans="1:13" x14ac:dyDescent="0.35">
      <c r="K22" s="185" t="s">
        <v>385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386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382</v>
      </c>
    </row>
    <row r="32" spans="1:13" x14ac:dyDescent="0.35">
      <c r="K32" s="185" t="s">
        <v>383</v>
      </c>
    </row>
    <row r="33" spans="11:16" x14ac:dyDescent="0.35">
      <c r="K33" s="185" t="s">
        <v>384</v>
      </c>
    </row>
    <row r="34" spans="11:16" x14ac:dyDescent="0.35">
      <c r="K34" s="185" t="s">
        <v>385</v>
      </c>
    </row>
    <row r="42" spans="11:16" x14ac:dyDescent="0.35">
      <c r="K42" s="185">
        <v>6</v>
      </c>
      <c r="L42" s="156">
        <v>773.3</v>
      </c>
      <c r="M42" s="156">
        <v>433.72</v>
      </c>
      <c r="N42" s="156">
        <f>238.43+83.81</f>
        <v>322.24</v>
      </c>
      <c r="P42" s="156">
        <f>L42-M42-N42</f>
        <v>17.339999999999918</v>
      </c>
    </row>
    <row r="43" spans="11:16" x14ac:dyDescent="0.35">
      <c r="K43" s="185" t="s">
        <v>393</v>
      </c>
      <c r="L43" s="156">
        <v>118.91</v>
      </c>
      <c r="P43" s="156">
        <f>L43-M43-N43</f>
        <v>118.91</v>
      </c>
    </row>
    <row r="44" spans="11:16" x14ac:dyDescent="0.35">
      <c r="K44" s="185" t="s">
        <v>394</v>
      </c>
      <c r="L44" s="156">
        <v>104.97</v>
      </c>
      <c r="M44" s="156">
        <v>7.73</v>
      </c>
      <c r="P44" s="156">
        <f>L44-M44-N44</f>
        <v>97.24</v>
      </c>
    </row>
    <row r="45" spans="11:16" x14ac:dyDescent="0.35">
      <c r="K45" s="185" t="s">
        <v>371</v>
      </c>
      <c r="L45" s="156">
        <v>46.62</v>
      </c>
      <c r="M45" s="156">
        <v>46.52</v>
      </c>
      <c r="P45" s="156">
        <f>L45-M45-N45</f>
        <v>9.9999999999994316E-2</v>
      </c>
    </row>
    <row r="46" spans="11:16" x14ac:dyDescent="0.35">
      <c r="K46" s="185" t="s">
        <v>101</v>
      </c>
      <c r="L46" s="156">
        <v>210.29</v>
      </c>
      <c r="N46" s="156">
        <f>454.37-N42</f>
        <v>132.13</v>
      </c>
      <c r="P46" s="156">
        <f>L46-M46-N46</f>
        <v>78.16</v>
      </c>
    </row>
    <row r="47" spans="11:16" x14ac:dyDescent="0.35">
      <c r="K47" s="185" t="s">
        <v>416</v>
      </c>
      <c r="L47" s="156">
        <v>436.11</v>
      </c>
      <c r="P47" s="156">
        <f>L47-M47-N47</f>
        <v>436.11</v>
      </c>
    </row>
    <row r="48" spans="11:16" x14ac:dyDescent="0.35">
      <c r="K48" s="185"/>
    </row>
    <row r="49" spans="11:18" x14ac:dyDescent="0.35">
      <c r="K49" s="185"/>
      <c r="N49" s="156">
        <f>SUM(N42:N48)</f>
        <v>454.37</v>
      </c>
      <c r="O49" s="226">
        <f>'7.8Пл6'!D9</f>
        <v>435.32</v>
      </c>
      <c r="Q49" s="226">
        <f>R49-N49</f>
        <v>435.32000000000005</v>
      </c>
      <c r="R49" s="156">
        <v>889.69</v>
      </c>
    </row>
    <row r="50" spans="11:18" x14ac:dyDescent="0.35">
      <c r="K50" s="185"/>
    </row>
    <row r="51" spans="11:18" x14ac:dyDescent="0.35">
      <c r="K51" s="185"/>
      <c r="L51" s="156">
        <v>1</v>
      </c>
      <c r="M51" s="156">
        <v>1</v>
      </c>
      <c r="N51" s="156">
        <v>2</v>
      </c>
      <c r="O51" s="156">
        <v>2</v>
      </c>
      <c r="P51" s="156">
        <v>3</v>
      </c>
      <c r="Q51" s="156">
        <v>3</v>
      </c>
    </row>
    <row r="52" spans="11:18" x14ac:dyDescent="0.35">
      <c r="K52" s="185"/>
      <c r="L52" s="185">
        <v>1</v>
      </c>
      <c r="M52" s="185" t="s">
        <v>100</v>
      </c>
      <c r="N52" s="185">
        <v>1</v>
      </c>
      <c r="O52" s="185" t="s">
        <v>100</v>
      </c>
      <c r="P52" s="185">
        <v>1</v>
      </c>
      <c r="Q52" s="185" t="s">
        <v>100</v>
      </c>
    </row>
    <row r="53" spans="11:18" x14ac:dyDescent="0.35">
      <c r="K53" s="185">
        <v>6</v>
      </c>
      <c r="L53" s="156">
        <v>13.62</v>
      </c>
      <c r="M53" s="191">
        <v>758.84</v>
      </c>
      <c r="N53" s="156">
        <v>0</v>
      </c>
      <c r="O53" s="156">
        <v>0</v>
      </c>
      <c r="P53" s="156">
        <v>0</v>
      </c>
      <c r="Q53" s="156">
        <v>0</v>
      </c>
    </row>
    <row r="54" spans="11:18" x14ac:dyDescent="0.35">
      <c r="K54" s="185" t="s">
        <v>393</v>
      </c>
      <c r="L54" s="156">
        <v>0</v>
      </c>
      <c r="M54" s="156">
        <v>0</v>
      </c>
      <c r="N54" s="156">
        <v>13.62</v>
      </c>
      <c r="O54" s="156">
        <v>76.59</v>
      </c>
      <c r="P54" s="156">
        <v>13.62</v>
      </c>
      <c r="Q54" s="156">
        <v>15.08</v>
      </c>
    </row>
    <row r="55" spans="11:18" x14ac:dyDescent="0.35">
      <c r="K55" s="185" t="s">
        <v>394</v>
      </c>
      <c r="L55" s="156">
        <v>43.85</v>
      </c>
      <c r="M55" s="156">
        <v>14.52</v>
      </c>
      <c r="N55" s="156">
        <v>0</v>
      </c>
      <c r="O55" s="156">
        <v>0</v>
      </c>
      <c r="P55" s="156">
        <v>0</v>
      </c>
      <c r="Q55" s="156">
        <v>0</v>
      </c>
    </row>
    <row r="56" spans="11:18" x14ac:dyDescent="0.35">
      <c r="K56" s="185" t="s">
        <v>371</v>
      </c>
      <c r="L56" s="156">
        <v>0</v>
      </c>
      <c r="M56" s="191">
        <v>46.62</v>
      </c>
      <c r="N56" s="156">
        <v>0</v>
      </c>
      <c r="O56" s="156">
        <v>0</v>
      </c>
      <c r="P56" s="156">
        <v>0</v>
      </c>
      <c r="Q56" s="156">
        <v>0</v>
      </c>
    </row>
    <row r="57" spans="11:18" x14ac:dyDescent="0.35">
      <c r="K57" s="185" t="s">
        <v>101</v>
      </c>
      <c r="L57" s="156">
        <v>0</v>
      </c>
      <c r="M57" s="156">
        <v>0</v>
      </c>
      <c r="N57" s="156">
        <v>43.43</v>
      </c>
      <c r="O57" s="156">
        <v>119.37</v>
      </c>
      <c r="P57" s="156">
        <v>43.43</v>
      </c>
      <c r="Q57" s="156">
        <v>0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6" t="s">
        <v>317</v>
      </c>
      <c r="B1" s="196"/>
      <c r="C1" s="196"/>
      <c r="D1" s="196"/>
      <c r="E1" s="196"/>
      <c r="F1" s="196"/>
    </row>
    <row r="2" spans="1:6" ht="18" customHeight="1" x14ac:dyDescent="0.35">
      <c r="A2" s="197" t="s">
        <v>302</v>
      </c>
      <c r="B2" s="198"/>
      <c r="C2" s="199"/>
      <c r="D2" s="167" t="s">
        <v>341</v>
      </c>
      <c r="E2" s="173" t="s">
        <v>2</v>
      </c>
      <c r="F2" s="158" t="s">
        <v>4</v>
      </c>
    </row>
    <row r="3" spans="1:6" ht="34.799999999999997" customHeight="1" x14ac:dyDescent="0.35">
      <c r="A3" s="193" t="s">
        <v>14</v>
      </c>
      <c r="B3" s="194"/>
      <c r="C3" s="195"/>
      <c r="D3" s="167" t="s">
        <v>343</v>
      </c>
      <c r="E3" s="173" t="s">
        <v>7</v>
      </c>
      <c r="F3" s="159">
        <f>B9</f>
        <v>115.60000000000001</v>
      </c>
    </row>
    <row r="4" spans="1:6" ht="36" x14ac:dyDescent="0.35">
      <c r="A4" s="160" t="s">
        <v>318</v>
      </c>
      <c r="B4" s="160" t="s">
        <v>319</v>
      </c>
      <c r="C4" s="212"/>
      <c r="D4" s="213"/>
      <c r="E4" s="213"/>
      <c r="F4" s="213"/>
    </row>
    <row r="5" spans="1:6" x14ac:dyDescent="0.35">
      <c r="A5" s="161" t="s">
        <v>348</v>
      </c>
      <c r="B5" s="162">
        <v>37.200000000000003</v>
      </c>
      <c r="C5" s="214"/>
      <c r="D5" s="215"/>
      <c r="E5" s="215"/>
      <c r="F5" s="215"/>
    </row>
    <row r="6" spans="1:6" x14ac:dyDescent="0.35">
      <c r="A6" s="161" t="s">
        <v>349</v>
      </c>
      <c r="B6" s="162">
        <v>56.31</v>
      </c>
      <c r="C6" s="214"/>
      <c r="D6" s="215"/>
      <c r="E6" s="215"/>
      <c r="F6" s="215"/>
    </row>
    <row r="7" spans="1:6" x14ac:dyDescent="0.35">
      <c r="A7" s="161" t="s">
        <v>350</v>
      </c>
      <c r="B7" s="162">
        <v>10.119999999999999</v>
      </c>
      <c r="C7" s="214"/>
      <c r="D7" s="215"/>
      <c r="E7" s="215"/>
      <c r="F7" s="215"/>
    </row>
    <row r="8" spans="1:6" x14ac:dyDescent="0.35">
      <c r="A8" s="161" t="s">
        <v>351</v>
      </c>
      <c r="B8" s="162">
        <v>11.97</v>
      </c>
      <c r="C8" s="214"/>
      <c r="D8" s="215"/>
      <c r="E8" s="215"/>
      <c r="F8" s="215"/>
    </row>
    <row r="9" spans="1:6" x14ac:dyDescent="0.35">
      <c r="A9" s="163" t="s">
        <v>337</v>
      </c>
      <c r="B9" s="162">
        <f>SUM(B5:B8)</f>
        <v>115.60000000000001</v>
      </c>
      <c r="C9" s="214"/>
      <c r="D9" s="215"/>
      <c r="E9" s="215"/>
      <c r="F9" s="215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A13" sqref="A13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338</v>
      </c>
      <c r="B1" s="220"/>
      <c r="C1" s="200"/>
      <c r="D1" s="200"/>
      <c r="E1" s="200"/>
      <c r="F1" s="200"/>
    </row>
    <row r="2" spans="1:6" ht="36" x14ac:dyDescent="0.35">
      <c r="A2" s="160" t="s">
        <v>318</v>
      </c>
      <c r="B2" s="160" t="s">
        <v>319</v>
      </c>
      <c r="C2" s="168"/>
      <c r="D2" s="168"/>
      <c r="E2" s="168"/>
      <c r="F2" s="168"/>
    </row>
    <row r="3" spans="1:6" x14ac:dyDescent="0.35">
      <c r="A3" s="161" t="s">
        <v>320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321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322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323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324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325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335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337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196" t="s">
        <v>317</v>
      </c>
      <c r="B13" s="196"/>
      <c r="C13" s="196"/>
      <c r="D13" s="196"/>
      <c r="E13" s="196"/>
      <c r="F13" s="196"/>
    </row>
    <row r="14" spans="1:6" ht="18" customHeight="1" x14ac:dyDescent="0.35">
      <c r="A14" s="197" t="s">
        <v>302</v>
      </c>
      <c r="B14" s="198"/>
      <c r="C14" s="199"/>
      <c r="D14" s="167" t="s">
        <v>341</v>
      </c>
      <c r="E14" s="164" t="s">
        <v>2</v>
      </c>
      <c r="F14" s="158" t="s">
        <v>4</v>
      </c>
    </row>
    <row r="15" spans="1:6" ht="89.4" customHeight="1" x14ac:dyDescent="0.35">
      <c r="A15" s="197" t="s">
        <v>14</v>
      </c>
      <c r="B15" s="198"/>
      <c r="C15" s="199"/>
      <c r="D15" s="167" t="s">
        <v>342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338</v>
      </c>
      <c r="B1" s="220"/>
      <c r="C1" s="220" t="s">
        <v>339</v>
      </c>
      <c r="D1" s="220"/>
      <c r="E1" s="220" t="s">
        <v>340</v>
      </c>
      <c r="F1" s="220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96" t="s">
        <v>317</v>
      </c>
      <c r="B15" s="196"/>
      <c r="C15" s="196"/>
      <c r="D15" s="196"/>
      <c r="E15" s="196"/>
      <c r="F15" s="196"/>
    </row>
    <row r="16" spans="1:6" x14ac:dyDescent="0.35">
      <c r="A16" s="221" t="s">
        <v>302</v>
      </c>
      <c r="B16" s="221"/>
      <c r="C16" s="221"/>
      <c r="D16" s="221"/>
      <c r="E16" s="157" t="s">
        <v>2</v>
      </c>
      <c r="F16" s="158" t="s">
        <v>4</v>
      </c>
    </row>
    <row r="17" spans="1:6" ht="60.6" customHeight="1" x14ac:dyDescent="0.35">
      <c r="A17" s="221" t="s">
        <v>10</v>
      </c>
      <c r="B17" s="221"/>
      <c r="C17" s="221"/>
      <c r="D17" s="221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37</vt:i4>
      </vt:variant>
    </vt:vector>
  </HeadingPairs>
  <TitlesOfParts>
    <vt:vector size="37" baseType="lpstr">
      <vt:lpstr>АА</vt:lpstr>
      <vt:lpstr>ВОР 2 эт</vt:lpstr>
      <vt:lpstr>Спец 2 эт</vt:lpstr>
      <vt:lpstr>ВОР 3 эт</vt:lpstr>
      <vt:lpstr>7.8Пл6</vt:lpstr>
      <vt:lpstr>7.7ммп</vt:lpstr>
      <vt:lpstr>7.6Плв6</vt:lpstr>
      <vt:lpstr>7.5излЛК6в6</vt:lpstr>
      <vt:lpstr>7.4изл7.1в6</vt:lpstr>
      <vt:lpstr>7.3Пл6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7.2-Гидр5</vt:lpstr>
      <vt:lpstr>7.1-Шл4.4</vt:lpstr>
      <vt:lpstr>6.1-Нал.пл</vt:lpstr>
      <vt:lpstr>5.3СКБ11в6</vt:lpstr>
      <vt:lpstr>5.2-СКБ7.1</vt:lpstr>
      <vt:lpstr>5.1-СКБ</vt:lpstr>
      <vt:lpstr>4.1-Изол</vt:lpstr>
      <vt:lpstr>3.3ПлнкЛК6в6</vt:lpstr>
      <vt:lpstr>3.2-Плен</vt:lpstr>
      <vt:lpstr>3.1-Пл</vt:lpstr>
      <vt:lpstr>2.1-Пл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2026-06-19T14:12:20Z</dcterms:modified>
</cp:coreProperties>
</file>