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14" activeTab="20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Спец 3 эт" sheetId="6" r:id="rId5"/>
    <sheet name="общий (2)" sheetId="5" state="hidden" r:id="rId6"/>
    <sheet name="не сделали" sheetId="21" r:id="rId7"/>
    <sheet name="ВорИзол" sheetId="10" r:id="rId8"/>
    <sheet name="Из1эт" sheetId="8" r:id="rId9"/>
    <sheet name="Из2эт" sheetId="9" r:id="rId10"/>
    <sheet name="ВорПленка" sheetId="12" r:id="rId11"/>
    <sheet name="Плк1э" sheetId="13" state="hidden" r:id="rId12"/>
    <sheet name="Плк2э" sheetId="14" state="hidden" r:id="rId13"/>
    <sheet name="Плк3э" sheetId="15" state="hidden" r:id="rId14"/>
    <sheet name="Общ" sheetId="7" r:id="rId15"/>
    <sheet name="СКБ-1эт" sheetId="17" r:id="rId16"/>
    <sheet name="1эт" sheetId="18" r:id="rId17"/>
    <sheet name="2эт" sheetId="19" r:id="rId18"/>
    <sheet name="3эт" sheetId="20" r:id="rId19"/>
    <sheet name="КП" sheetId="23" r:id="rId20"/>
    <sheet name="2.1-Пл" sheetId="22" r:id="rId21"/>
  </sheets>
  <definedNames>
    <definedName name="_xlnm._FilterDatabase" localSheetId="4" hidden="1">'Спец 3 эт'!$B$2:$K$23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23" l="1"/>
  <c r="D12" i="22" l="1"/>
  <c r="F12" i="22"/>
  <c r="F13" i="22" s="1"/>
  <c r="F17" i="22" s="1"/>
  <c r="B12" i="22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<sst xmlns="http://schemas.openxmlformats.org/spreadsheetml/2006/main" count="913" uniqueCount="341">
  <si>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</si>
  <si>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</si>
  <si>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</si>
  <si>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</si>
  <si>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</si>
  <si>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</si>
  <si>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</si>
  <si>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</si>
  <si>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</si>
  <si>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</si>
  <si>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</si>
  <si>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</si>
  <si>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</si>
  <si>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</si>
  <si>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</si>
  <si>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</si>
  <si>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</si>
  <si>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</si>
  <si>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</si>
  <si>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</si>
  <si>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</si>
  <si>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</si>
  <si>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</si>
  <si>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</si>
  <si>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</si>
  <si>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</si>
  <si>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</si>
  <si>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</si>
  <si>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</si>
  <si>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</si>
  <si>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</si>
  <si>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</si>
  <si>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</si>
  <si>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</si>
  <si>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</si>
  <si>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</si>
  <si>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</si>
  <si>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</si>
  <si>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</si>
  <si>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</si>
  <si>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</si>
  <si>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</si>
  <si>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</si>
  <si>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</si>
  <si>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</si>
  <si>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</si>
  <si>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</si>
  <si>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</si>
  <si>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</si>
  <si>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</si>
  <si>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</si>
  <si>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</si>
  <si>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</si>
  <si>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</si>
  <si>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</si>
  <si>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</si>
  <si>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</si>
  <si>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</si>
  <si>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</si>
  <si>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</si>
  <si>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</si>
  <si>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</si>
  <si>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</si>
  <si>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</si>
  <si>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</si>
  <si>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</si>
  <si>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</si>
  <si>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</si>
  <si>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</si>
  <si>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</si>
  <si>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</si>
  <si>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</si>
  <si>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</si>
  <si>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</si>
  <si>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</si>
  <si>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</si>
  <si>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</si>
  <si>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</si>
  <si>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</si>
  <si>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</si>
  <si>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</si>
  <si>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</si>
  <si>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</si>
  <si>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</si>
  <si>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</si>
  <si>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</si>
  <si>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</si>
  <si>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</si>
  <si>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</si>
  <si>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</si>
  <si>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</si>
  <si>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</si>
  <si>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</si>
  <si>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</si>
  <si>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</si>
  <si>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</si>
  <si>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</si>
  <si>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</si>
  <si>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</si>
  <si>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</si>
  <si>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</si>
  <si>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</si>
  <si>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</si>
  <si>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</si>
  <si>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</si>
  <si>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</si>
  <si>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</si>
  <si>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</si>
  <si>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</si>
  <si>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</si>
  <si>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</si>
  <si>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</si>
  <si>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</si>
  <si>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</si>
  <si>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</si>
  <si>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</si>
  <si>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</si>
  <si>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</si>
  <si>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</si>
  <si>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</si>
  <si>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</si>
  <si>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</si>
  <si>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</si>
  <si>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</si>
  <si>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</si>
  <si>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</si>
  <si>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</si>
  <si>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</si>
  <si>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</si>
  <si>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</si>
  <si>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</si>
  <si>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</si>
  <si>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</si>
  <si>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</si>
  <si>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</si>
  <si>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</si>
  <si>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</si>
  <si>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</si>
  <si>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</si>
  <si>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</si>
  <si>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</si>
  <si>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</si>
  <si>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</si>
  <si>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</si>
  <si>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</si>
  <si>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</si>
  <si>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</si>
  <si>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</si>
  <si>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</si>
  <si>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</si>
  <si>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</si>
  <si>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</si>
  <si>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</si>
  <si>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</si>
  <si>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</si>
  <si>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</si>
  <si>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</si>
  <si>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</si>
  <si>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</si>
  <si>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</si>
  <si>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</si>
  <si>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</si>
  <si>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</si>
  <si>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</si>
  <si>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</si>
  <si>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</si>
  <si>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</si>
  <si>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</si>
  <si>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</si>
  <si>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</si>
  <si>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</si>
  <si>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</si>
  <si>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</si>
  <si>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</si>
  <si>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</si>
  <si>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</si>
  <si>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</si>
  <si>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</si>
  <si>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</si>
  <si>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</si>
  <si>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</si>
  <si>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</si>
  <si>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</si>
  <si>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</si>
  <si>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</si>
  <si>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</si>
  <si>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</si>
  <si>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</si>
  <si>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</si>
  <si>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</si>
  <si>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</si>
  <si>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</si>
  <si>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</si>
  <si>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</si>
  <si>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</si>
  <si>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</si>
  <si>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</si>
  <si>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</si>
  <si>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</si>
  <si>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</si>
  <si>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</si>
  <si>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</si>
  <si>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</si>
  <si>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</si>
  <si>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</si>
  <si>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</si>
  <si>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</si>
  <si>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</si>
  <si>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</si>
  <si>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</si>
  <si>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</si>
  <si>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</si>
  <si>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</si>
  <si>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</si>
  <si>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</si>
  <si>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</si>
  <si>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</si>
  <si>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</si>
  <si>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</si>
  <si>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</si>
  <si>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</si>
  <si>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</si>
  <si>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</si>
  <si>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</si>
  <si>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</si>
  <si>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</si>
  <si>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</si>
  <si>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</si>
  <si>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</si>
  <si>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</si>
  <si>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</si>
  <si>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</si>
  <si>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</si>
  <si>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</si>
  <si>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</si>
  <si>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</si>
  <si>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</si>
  <si>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</si>
  <si>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</si>
  <si>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</si>
  <si>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</si>
  <si>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</si>
  <si>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</si>
  <si>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</si>
  <si>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</si>
  <si>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</si>
  <si>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</si>
  <si>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</si>
  <si>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</si>
  <si>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</si>
  <si>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</si>
  <si>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</si>
  <si>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</si>
  <si>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</si>
  <si>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</si>
  <si>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</si>
  <si>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</si>
  <si>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</si>
  <si>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</si>
  <si>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</si>
  <si>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</si>
  <si>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</si>
  <si>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</si>
  <si>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</si>
  <si>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</si>
  <si>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</si>
  <si>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</si>
  <si>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</si>
  <si>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</si>
  <si>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</si>
  <si>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</si>
  <si>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</si>
  <si>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</si>
  <si>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</si>
  <si>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</si>
  <si>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</si>
  <si>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</si>
  <si>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</si>
  <si>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</si>
  <si>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</si>
  <si>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</si>
  <si>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</si>
  <si>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</si>
  <si>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</si>
  <si>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</si>
  <si>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</si>
  <si>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</si>
  <si>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</si>
  <si>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</si>
  <si>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</si>
  <si>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</si>
  <si>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</si>
  <si>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</si>
  <si>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</si>
  <si>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</si>
  <si>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</si>
  <si>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</si>
  <si>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</si>
  <si>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</si>
  <si>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</si>
  <si>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</si>
  <si>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</si>
  <si>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</si>
  <si>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</si>
  <si>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</si>
  <si>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</si>
  <si>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</si>
  <si>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</si>
  <si>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</si>
  <si>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</si>
  <si>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</si>
  <si>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</si>
  <si>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</si>
  <si>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</si>
  <si>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</si>
  <si>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</si>
  <si>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</si>
  <si>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Ведомость работ и используемых материалов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</si>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</sst>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6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/>
    </xf>
    <xf numFmtId="2" fontId="4" fillId="0" borderId="1" xfId="0" applyNumberFormat="1" applyFont="1" applyBorder="1"/>
    <xf numFmtId="0" fontId="11" fillId="0" borderId="1" xfId="0" applyFont="1" applyBorder="1" applyAlignment="1">
      <alignment horizont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164" t="s">
        <v>48</v>
      </c>
      <c r="B1" s="164"/>
      <c r="C1" s="164"/>
      <c r="D1" s="164"/>
      <c r="E1" s="164"/>
      <c r="F1" s="164"/>
      <c r="G1" s="164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164" t="s">
        <v>48</v>
      </c>
      <c r="B1" s="164"/>
      <c r="C1" s="164"/>
      <c r="D1" s="164"/>
      <c r="E1" s="164"/>
      <c r="F1" s="164"/>
      <c r="G1" s="164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165" t="s">
        <v>108</v>
      </c>
      <c r="B1" s="166"/>
      <c r="C1" s="166"/>
      <c r="D1" s="166"/>
      <c r="E1" s="167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165" t="s">
        <v>107</v>
      </c>
      <c r="B1" s="166"/>
      <c r="C1" s="166"/>
      <c r="D1" s="166"/>
      <c r="E1" s="167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sqref="A1:E3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168" t="s">
        <v>110</v>
      </c>
      <c r="B1" s="169"/>
      <c r="C1" s="169"/>
      <c r="D1" s="169"/>
      <c r="E1" s="170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168" t="s">
        <v>111</v>
      </c>
      <c r="B1" s="169"/>
      <c r="C1" s="169"/>
      <c r="D1" s="169"/>
      <c r="E1" s="170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165" t="s">
        <v>109</v>
      </c>
      <c r="B1" s="166"/>
      <c r="C1" s="166"/>
      <c r="D1" s="166"/>
      <c r="E1" s="167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22"/>
  <sheetViews>
    <sheetView topLeftCell="A28" zoomScaleNormal="100" workbookViewId="0">
      <selection activeCell="E118" sqref="E118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165" t="s">
        <v>48</v>
      </c>
      <c r="B1" s="166"/>
      <c r="C1" s="166"/>
      <c r="D1" s="166"/>
      <c r="E1" s="167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hidden="1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hidden="1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hidden="1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hidden="1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hidden="1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hidden="1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hidden="1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hidden="1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hidden="1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hidden="1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hidden="1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hidden="1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hidden="1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hidden="1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hidden="1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hidden="1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hidden="1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hidden="1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hidden="1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hidden="1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>
        <f t="shared" si="1"/>
        <v>2.08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68" t="s">
        <v>110</v>
      </c>
      <c r="B1" s="169"/>
      <c r="C1" s="169"/>
      <c r="D1" s="169"/>
      <c r="E1" s="170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168" t="s">
        <v>110</v>
      </c>
      <c r="B7" s="169"/>
      <c r="C7" s="169"/>
      <c r="D7" s="169"/>
      <c r="E7" s="170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168" t="s">
        <v>48</v>
      </c>
      <c r="B13" s="169"/>
      <c r="C13" s="169"/>
      <c r="D13" s="169"/>
      <c r="E13" s="170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71" t="s">
        <v>111</v>
      </c>
      <c r="B1" s="171"/>
      <c r="C1" s="171"/>
      <c r="D1" s="171"/>
      <c r="E1" s="171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171" t="s">
        <v>111</v>
      </c>
      <c r="B7" s="171"/>
      <c r="C7" s="171"/>
      <c r="D7" s="171"/>
      <c r="E7" s="171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171" t="s">
        <v>111</v>
      </c>
      <c r="B14" s="171"/>
      <c r="C14" s="171"/>
      <c r="D14" s="171"/>
      <c r="E14" s="171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171" t="s">
        <v>109</v>
      </c>
      <c r="B1" s="171"/>
      <c r="C1" s="171"/>
      <c r="D1" s="171"/>
      <c r="E1" s="171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171" t="s">
        <v>109</v>
      </c>
      <c r="B6" s="171"/>
      <c r="C6" s="171"/>
      <c r="D6" s="171"/>
      <c r="E6" s="171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topLeftCell="E1" zoomScale="55" zoomScaleNormal="55" workbookViewId="0">
      <selection activeCell="J2" sqref="J2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74">
        <f>'2.1-Пл'!F17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tabSelected="1" zoomScale="85" zoomScaleNormal="85" workbookViewId="0">
      <selection activeCell="K10" sqref="K10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75" t="s">
        <v>338</v>
      </c>
      <c r="B1" s="175"/>
      <c r="C1" s="175" t="s">
        <v>339</v>
      </c>
      <c r="D1" s="175"/>
      <c r="E1" s="175" t="s">
        <v>340</v>
      </c>
      <c r="F1" s="175"/>
    </row>
    <row r="2" spans="1:6" ht="36" x14ac:dyDescent="0.35">
      <c r="A2" s="160" t="s">
        <v>318</v>
      </c>
      <c r="B2" s="160" t="s">
        <v>319</v>
      </c>
      <c r="C2" s="160" t="s">
        <v>318</v>
      </c>
      <c r="D2" s="160" t="s">
        <v>319</v>
      </c>
      <c r="E2" s="160" t="s">
        <v>318</v>
      </c>
      <c r="F2" s="160" t="s">
        <v>319</v>
      </c>
    </row>
    <row r="3" spans="1:6" x14ac:dyDescent="0.35">
      <c r="A3" s="161" t="s">
        <v>320</v>
      </c>
      <c r="B3" s="162">
        <v>113.98</v>
      </c>
      <c r="C3" s="161" t="s">
        <v>53</v>
      </c>
      <c r="D3" s="162">
        <v>73.599999999999994</v>
      </c>
      <c r="E3" s="161" t="s">
        <v>326</v>
      </c>
      <c r="F3" s="162">
        <v>73.14</v>
      </c>
    </row>
    <row r="4" spans="1:6" x14ac:dyDescent="0.35">
      <c r="A4" s="161" t="s">
        <v>321</v>
      </c>
      <c r="B4" s="162">
        <v>68.63</v>
      </c>
      <c r="C4" s="161" t="s">
        <v>54</v>
      </c>
      <c r="D4" s="162">
        <v>72.22</v>
      </c>
      <c r="E4" s="161" t="s">
        <v>327</v>
      </c>
      <c r="F4" s="162">
        <v>71.83</v>
      </c>
    </row>
    <row r="5" spans="1:6" x14ac:dyDescent="0.35">
      <c r="A5" s="161" t="s">
        <v>322</v>
      </c>
      <c r="B5" s="162">
        <v>69.02</v>
      </c>
      <c r="C5" s="161" t="s">
        <v>55</v>
      </c>
      <c r="D5" s="162">
        <v>68.37</v>
      </c>
      <c r="E5" s="161" t="s">
        <v>328</v>
      </c>
      <c r="F5" s="162">
        <v>67.760000000000005</v>
      </c>
    </row>
    <row r="6" spans="1:6" x14ac:dyDescent="0.35">
      <c r="A6" s="161" t="s">
        <v>323</v>
      </c>
      <c r="B6" s="162">
        <v>68.94</v>
      </c>
      <c r="C6" s="161" t="s">
        <v>58</v>
      </c>
      <c r="D6" s="162">
        <v>68.25</v>
      </c>
      <c r="E6" s="161" t="s">
        <v>329</v>
      </c>
      <c r="F6" s="162">
        <v>67.77</v>
      </c>
    </row>
    <row r="7" spans="1:6" x14ac:dyDescent="0.35">
      <c r="A7" s="161" t="s">
        <v>324</v>
      </c>
      <c r="B7" s="162">
        <v>68.849999999999994</v>
      </c>
      <c r="C7" s="161" t="s">
        <v>59</v>
      </c>
      <c r="D7" s="162">
        <v>67.709999999999994</v>
      </c>
      <c r="E7" s="161" t="s">
        <v>330</v>
      </c>
      <c r="F7" s="162">
        <v>68.069999999999993</v>
      </c>
    </row>
    <row r="8" spans="1:6" x14ac:dyDescent="0.35">
      <c r="A8" s="161" t="s">
        <v>325</v>
      </c>
      <c r="B8" s="162">
        <v>67.86</v>
      </c>
      <c r="C8" s="161" t="s">
        <v>60</v>
      </c>
      <c r="D8" s="162">
        <v>68.44</v>
      </c>
      <c r="E8" s="161" t="s">
        <v>331</v>
      </c>
      <c r="F8" s="162">
        <v>67.959999999999994</v>
      </c>
    </row>
    <row r="9" spans="1:6" x14ac:dyDescent="0.35">
      <c r="A9" s="161" t="s">
        <v>335</v>
      </c>
      <c r="B9" s="162">
        <v>139.03</v>
      </c>
      <c r="C9" s="161" t="s">
        <v>61</v>
      </c>
      <c r="D9" s="162">
        <v>67.41</v>
      </c>
      <c r="E9" s="161" t="s">
        <v>332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333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334</v>
      </c>
      <c r="F11" s="162">
        <v>67.81</v>
      </c>
    </row>
    <row r="12" spans="1:6" x14ac:dyDescent="0.35">
      <c r="A12" s="163" t="s">
        <v>337</v>
      </c>
      <c r="B12" s="162">
        <f>SUM(B3:B11)</f>
        <v>596.30999999999995</v>
      </c>
      <c r="C12" s="163" t="s">
        <v>337</v>
      </c>
      <c r="D12" s="162">
        <f t="shared" ref="D12:F12" si="0">SUM(D3:D11)</f>
        <v>622.90000000000009</v>
      </c>
      <c r="E12" s="163" t="s">
        <v>337</v>
      </c>
      <c r="F12" s="162">
        <f t="shared" si="0"/>
        <v>619.53</v>
      </c>
    </row>
    <row r="13" spans="1:6" x14ac:dyDescent="0.35">
      <c r="E13" s="163" t="s">
        <v>336</v>
      </c>
      <c r="F13" s="162">
        <f>SUM(F12,D12,B12)</f>
        <v>1838.74</v>
      </c>
    </row>
    <row r="15" spans="1:6" x14ac:dyDescent="0.35">
      <c r="A15" s="173" t="s">
        <v>317</v>
      </c>
      <c r="B15" s="173"/>
      <c r="C15" s="173"/>
      <c r="D15" s="173"/>
      <c r="E15" s="173"/>
      <c r="F15" s="173"/>
    </row>
    <row r="16" spans="1:6" x14ac:dyDescent="0.35">
      <c r="A16" s="172" t="s">
        <v>302</v>
      </c>
      <c r="B16" s="172"/>
      <c r="C16" s="172"/>
      <c r="D16" s="172"/>
      <c r="E16" s="157" t="s">
        <v>2</v>
      </c>
      <c r="F16" s="158" t="s">
        <v>4</v>
      </c>
    </row>
    <row r="17" spans="1:6" ht="60.6" customHeight="1" x14ac:dyDescent="0.35">
      <c r="A17" s="172" t="s">
        <v>10</v>
      </c>
      <c r="B17" s="172"/>
      <c r="C17" s="172"/>
      <c r="D17" s="172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АА</vt:lpstr>
      <vt:lpstr>ВОР 2 эт</vt:lpstr>
      <vt:lpstr>Спец 2 эт</vt:lpstr>
      <vt:lpstr>ВОР 3 эт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2.1-Пл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2026-03-06T11:52:36Z</dcterms:modified>
</cp:coreProperties>
</file>