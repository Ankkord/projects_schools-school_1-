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school_lublino\floors\"/>
    </mc:Choice>
  </mc:AlternateContent>
  <bookViews>
    <workbookView xWindow="0" yWindow="0" windowWidth="14196" windowHeight="6840" tabRatio="836" firstSheet="4" activeTab="4"/>
  </bookViews>
  <sheets>
    <sheet name="АА" sheetId="16" state="hidden" r:id="rId1"/>
    <sheet name="ВОР 2 эт" sheetId="2" state="hidden" r:id="rId2"/>
    <sheet name="Спец 2 эт" sheetId="4" state="hidden" r:id="rId3"/>
    <sheet name="ВОР 3 эт" sheetId="3" state="hidden" r:id="rId4"/>
    <sheet name="9.2ЛенИнв" sheetId="52" r:id="rId5"/>
    <sheet name="9.1ЛинИнв" sheetId="51" r:id="rId6"/>
    <sheet name="Налив. пол ВОР" sheetId="48" r:id="rId7"/>
    <sheet name="8.2Лин" sheetId="50" r:id="rId8"/>
    <sheet name="8.1Нал8в" sheetId="49" r:id="rId9"/>
    <sheet name="4.1к" sheetId="42" r:id="rId10"/>
    <sheet name="4СУги.изл" sheetId="46" r:id="rId11"/>
    <sheet name="3СУстж" sheetId="45" r:id="rId12"/>
    <sheet name="2СУплн" sheetId="44" r:id="rId13"/>
    <sheet name="1СУизл" sheetId="43" r:id="rId14"/>
    <sheet name="0СуПл" sheetId="47" r:id="rId15"/>
    <sheet name="1кСу" sheetId="41" r:id="rId16"/>
    <sheet name="7.8Пл6" sheetId="40" r:id="rId17"/>
    <sheet name="7.7ммп" sheetId="39" r:id="rId18"/>
    <sheet name="7.6Плв6" sheetId="38" r:id="rId19"/>
    <sheet name="7.5излЛК6в6" sheetId="35" r:id="rId20"/>
    <sheet name="7.4изл7.1в6" sheetId="34" r:id="rId21"/>
    <sheet name="7.3Пл6" sheetId="33" r:id="rId22"/>
    <sheet name="Спец 3 эт" sheetId="6" r:id="rId23"/>
    <sheet name="общий (2)" sheetId="5" state="hidden" r:id="rId24"/>
    <sheet name="не сделали" sheetId="21" r:id="rId25"/>
    <sheet name="ВорИзол" sheetId="10" r:id="rId26"/>
    <sheet name="Из1эт" sheetId="8" r:id="rId27"/>
    <sheet name="Из2эт" sheetId="9" r:id="rId28"/>
    <sheet name="ВорПленка" sheetId="12" r:id="rId29"/>
    <sheet name="Плк1э" sheetId="13" r:id="rId30"/>
    <sheet name="Плк2э" sheetId="14" state="hidden" r:id="rId31"/>
    <sheet name="Плк3э" sheetId="15" state="hidden" r:id="rId32"/>
    <sheet name="Общ" sheetId="7" r:id="rId33"/>
    <sheet name="СКБ-1эт" sheetId="17" r:id="rId34"/>
    <sheet name="1эт" sheetId="18" r:id="rId35"/>
    <sheet name="2эт" sheetId="19" r:id="rId36"/>
    <sheet name="3эт" sheetId="20" r:id="rId37"/>
    <sheet name="КП" sheetId="23" r:id="rId38"/>
    <sheet name="7.2-Гидр5" sheetId="31" r:id="rId39"/>
    <sheet name="7.1-Шл4.4" sheetId="32" r:id="rId40"/>
    <sheet name="6.1-Нал.пл" sheetId="29" r:id="rId41"/>
    <sheet name="5.3СКБ11в6" sheetId="37" r:id="rId42"/>
    <sheet name="5.2-СКБ7.1" sheetId="30" r:id="rId43"/>
    <sheet name="5.1-СКБ" sheetId="26" r:id="rId44"/>
    <sheet name="4.1-Изол" sheetId="25" r:id="rId45"/>
    <sheet name="3.3ПлнкЛК6в6" sheetId="36" r:id="rId46"/>
    <sheet name="3.2-Плен" sheetId="28" r:id="rId47"/>
    <sheet name="3.1-Плен" sheetId="24" r:id="rId48"/>
    <sheet name="2.1-Нал" sheetId="22" r:id="rId49"/>
  </sheets>
  <definedNames>
    <definedName name="_xlnm._FilterDatabase" localSheetId="22" hidden="1">'Спец 3 эт'!$B$2:$K$23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2" l="1"/>
  <c r="B9" i="52" s="1"/>
  <c r="B7" i="52"/>
  <c r="B6" i="52"/>
  <c r="B5" i="52"/>
  <c r="F7" i="52"/>
  <c r="H23" i="51"/>
  <c r="E27" i="51"/>
  <c r="B23" i="51"/>
  <c r="F3" i="52" l="1"/>
  <c r="H3" i="51"/>
  <c r="H3" i="50"/>
  <c r="H19" i="50"/>
  <c r="E18" i="50"/>
  <c r="B16" i="50"/>
  <c r="H3" i="49"/>
  <c r="E9" i="49"/>
  <c r="E19" i="49" s="1"/>
  <c r="H13" i="49"/>
  <c r="B9" i="49"/>
  <c r="D25" i="47" l="1"/>
  <c r="H4" i="47" s="1"/>
  <c r="D13" i="47"/>
  <c r="H3" i="47"/>
  <c r="D21" i="46"/>
  <c r="H3" i="46"/>
  <c r="D21" i="45"/>
  <c r="H3" i="45" s="1"/>
  <c r="D21" i="44"/>
  <c r="H3" i="44"/>
  <c r="D21" i="43"/>
  <c r="H3" i="43" s="1"/>
  <c r="H17" i="42" l="1"/>
  <c r="H16" i="42"/>
  <c r="H15" i="42"/>
  <c r="D31" i="42"/>
  <c r="D11" i="42"/>
  <c r="H51" i="41"/>
  <c r="H50" i="41"/>
  <c r="H49" i="41"/>
  <c r="D59" i="41"/>
  <c r="J33" i="41"/>
  <c r="J32" i="41"/>
  <c r="J31" i="41"/>
  <c r="J30" i="41"/>
  <c r="H3" i="42" l="1"/>
  <c r="D25" i="41"/>
  <c r="D13" i="41"/>
  <c r="H3" i="41" s="1"/>
  <c r="H4" i="41"/>
  <c r="Q49" i="36" l="1"/>
  <c r="N49" i="36"/>
  <c r="D9" i="40" l="1"/>
  <c r="O49" i="36" s="1"/>
  <c r="H3" i="40" l="1"/>
  <c r="P47" i="36"/>
  <c r="P43" i="36"/>
  <c r="P44" i="36"/>
  <c r="P45" i="36"/>
  <c r="N42" i="36"/>
  <c r="P42" i="36" s="1"/>
  <c r="N46" i="36" l="1"/>
  <c r="P46" i="36" s="1"/>
  <c r="G15" i="39"/>
  <c r="G11" i="39"/>
  <c r="G7" i="39"/>
  <c r="G3" i="39"/>
  <c r="D27" i="38" l="1"/>
  <c r="I4" i="38" s="1"/>
  <c r="D13" i="38"/>
  <c r="I3" i="38"/>
  <c r="H4" i="31" l="1"/>
  <c r="D9" i="36" l="1"/>
  <c r="I3" i="36"/>
  <c r="D9" i="35" l="1"/>
  <c r="I3" i="35" s="1"/>
  <c r="D7" i="34"/>
  <c r="I3" i="34" s="1"/>
  <c r="D9" i="33" l="1"/>
  <c r="I3" i="33" s="1"/>
  <c r="D9" i="31" l="1"/>
  <c r="H3" i="31" s="1"/>
  <c r="B8" i="25" l="1"/>
  <c r="B7" i="25"/>
  <c r="B6" i="25"/>
  <c r="B5" i="25"/>
  <c r="B9" i="29" l="1"/>
  <c r="F3" i="29" s="1"/>
  <c r="B9" i="28"/>
  <c r="F3" i="28"/>
  <c r="F11" i="26" l="1"/>
  <c r="F3" i="26" s="1"/>
  <c r="B11" i="26"/>
  <c r="F4" i="26"/>
  <c r="B9" i="25"/>
  <c r="F3" i="25" s="1"/>
  <c r="D12" i="22" l="1"/>
  <c r="F12" i="22"/>
  <c r="F13" i="22"/>
  <c r="F17" i="22"/>
  <c r="B10" i="24" l="1"/>
  <c r="F15" i="24" s="1"/>
  <c r="J2" i="23" l="1"/>
  <c r="B12" i="22" l="1"/>
  <c r="H25" i="23" l="1"/>
  <c r="F3" i="10" l="1"/>
  <c r="F8" i="21" l="1"/>
  <c r="G17" i="21" l="1"/>
  <c r="G14" i="21"/>
  <c r="G15" i="21"/>
  <c r="G16" i="21"/>
  <c r="H10" i="21"/>
  <c r="E3" i="18" l="1"/>
  <c r="E41" i="18" l="1"/>
  <c r="E12" i="19"/>
  <c r="E16" i="19"/>
  <c r="F13" i="17" s="1"/>
  <c r="F8" i="17"/>
  <c r="E11" i="18"/>
  <c r="F19" i="17" s="1"/>
  <c r="E10" i="20" l="1"/>
  <c r="F24" i="17" s="1"/>
  <c r="E4" i="20" l="1"/>
  <c r="E5" i="18"/>
  <c r="E5" i="19"/>
  <c r="F3" i="17" l="1"/>
  <c r="F26" i="17"/>
  <c r="F27" i="17"/>
  <c r="F21" i="17"/>
  <c r="F25" i="17"/>
  <c r="F23" i="17"/>
  <c r="F22" i="17"/>
  <c r="F20" i="17"/>
  <c r="F28" i="17"/>
  <c r="F17" i="17"/>
  <c r="F15" i="17"/>
  <c r="F16" i="17"/>
  <c r="F14" i="17"/>
  <c r="F18" i="17"/>
  <c r="F10" i="17"/>
  <c r="F12" i="17"/>
  <c r="F11" i="17"/>
  <c r="F9" i="17"/>
  <c r="G80" i="7"/>
  <c r="G69" i="7"/>
  <c r="G70" i="7"/>
  <c r="G71" i="7"/>
  <c r="G72" i="7"/>
  <c r="G73" i="7"/>
  <c r="G74" i="7"/>
  <c r="G75" i="7"/>
  <c r="G76" i="7"/>
  <c r="G77" i="7"/>
  <c r="G78" i="7"/>
  <c r="G79" i="7"/>
  <c r="G64" i="7"/>
  <c r="G65" i="7"/>
  <c r="G66" i="7"/>
  <c r="G67" i="7"/>
  <c r="G68" i="7"/>
  <c r="F7" i="17" l="1"/>
  <c r="F6" i="17"/>
  <c r="F4" i="17"/>
  <c r="F5" i="17"/>
  <c r="F3" i="12"/>
  <c r="F4" i="12" s="1"/>
  <c r="E8" i="15"/>
  <c r="E23" i="14"/>
  <c r="E30" i="13"/>
  <c r="G10" i="7"/>
  <c r="G11" i="7"/>
  <c r="G12" i="7"/>
  <c r="G13" i="7"/>
  <c r="G14" i="7"/>
  <c r="G15" i="7"/>
  <c r="G16" i="7"/>
  <c r="G17" i="7"/>
  <c r="G18" i="7"/>
  <c r="E29" i="8" l="1"/>
  <c r="F4" i="10" s="1"/>
  <c r="E17" i="9"/>
  <c r="G8" i="7" l="1"/>
  <c r="G5" i="7"/>
  <c r="G6" i="7"/>
  <c r="G7" i="7"/>
  <c r="G9" i="7"/>
  <c r="G63" i="7"/>
  <c r="F24" i="6" l="1"/>
  <c r="E24" i="6"/>
  <c r="F3" i="3" s="1"/>
  <c r="D24" i="6"/>
  <c r="C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F44" i="5"/>
  <c r="I44" i="5" s="1"/>
  <c r="F43" i="5"/>
  <c r="I43" i="5" s="1"/>
  <c r="F42" i="5"/>
  <c r="I42" i="5" s="1"/>
  <c r="F41" i="5"/>
  <c r="I41" i="5" s="1"/>
  <c r="I40" i="5"/>
  <c r="F39" i="5"/>
  <c r="I39" i="5" s="1"/>
  <c r="F38" i="5"/>
  <c r="I38" i="5" s="1"/>
  <c r="H37" i="5"/>
  <c r="F37" i="5"/>
  <c r="I37" i="5" s="1"/>
  <c r="F36" i="5"/>
  <c r="I36" i="5" s="1"/>
  <c r="I35" i="5"/>
  <c r="F34" i="5"/>
  <c r="I34" i="5" s="1"/>
  <c r="H33" i="5"/>
  <c r="F33" i="5"/>
  <c r="I33" i="5" s="1"/>
  <c r="F32" i="5"/>
  <c r="I32" i="5" s="1"/>
  <c r="F31" i="5"/>
  <c r="I31" i="5" s="1"/>
  <c r="F30" i="5"/>
  <c r="I30" i="5" s="1"/>
  <c r="I29" i="5"/>
  <c r="F28" i="5"/>
  <c r="I28" i="5" s="1"/>
  <c r="F27" i="5"/>
  <c r="I27" i="5" s="1"/>
  <c r="H26" i="5"/>
  <c r="F26" i="5"/>
  <c r="I26" i="5" s="1"/>
  <c r="F25" i="5"/>
  <c r="I25" i="5" s="1"/>
  <c r="I24" i="5"/>
  <c r="F23" i="5"/>
  <c r="I23" i="5" s="1"/>
  <c r="F22" i="5"/>
  <c r="I22" i="5" s="1"/>
  <c r="H21" i="5"/>
  <c r="F21" i="5"/>
  <c r="I21" i="5" s="1"/>
  <c r="F20" i="5"/>
  <c r="I20" i="5" s="1"/>
  <c r="I19" i="5"/>
  <c r="F18" i="5"/>
  <c r="I18" i="5" s="1"/>
  <c r="F17" i="5"/>
  <c r="I17" i="5" s="1"/>
  <c r="I16" i="5"/>
  <c r="H16" i="5"/>
  <c r="F16" i="5"/>
  <c r="F15" i="5"/>
  <c r="I15" i="5" s="1"/>
  <c r="I14" i="5"/>
  <c r="F13" i="5"/>
  <c r="I13" i="5" s="1"/>
  <c r="I12" i="5"/>
  <c r="F11" i="5"/>
  <c r="I11" i="5" s="1"/>
  <c r="F10" i="5"/>
  <c r="I10" i="5" s="1"/>
  <c r="I9" i="5"/>
  <c r="F8" i="5"/>
  <c r="I8" i="5" s="1"/>
  <c r="I7" i="5"/>
  <c r="F6" i="5"/>
  <c r="I6" i="5" s="1"/>
  <c r="F5" i="5"/>
  <c r="I5" i="5" s="1"/>
  <c r="F4" i="5"/>
  <c r="I4" i="5" s="1"/>
  <c r="I3" i="5"/>
  <c r="F8" i="2"/>
  <c r="F3" i="2"/>
  <c r="E46" i="4"/>
  <c r="G23" i="4"/>
  <c r="G24" i="4"/>
  <c r="F46" i="4"/>
  <c r="G45" i="4"/>
  <c r="G44" i="4"/>
  <c r="G43" i="4"/>
  <c r="G42" i="4"/>
  <c r="G41" i="4"/>
  <c r="G40" i="4"/>
  <c r="G39" i="4"/>
  <c r="G38" i="4"/>
  <c r="G36" i="4"/>
  <c r="G35" i="4"/>
  <c r="G34" i="4"/>
  <c r="G33" i="4"/>
  <c r="G32" i="4"/>
  <c r="G31" i="4"/>
  <c r="G30" i="4"/>
  <c r="G29" i="4"/>
  <c r="G28" i="4"/>
  <c r="G27" i="4"/>
  <c r="G26" i="4"/>
  <c r="G25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H10" i="3"/>
  <c r="F7" i="3"/>
  <c r="I7" i="3" s="1"/>
  <c r="F6" i="3"/>
  <c r="I6" i="3" s="1"/>
  <c r="H5" i="3"/>
  <c r="F5" i="3"/>
  <c r="I5" i="3" s="1"/>
  <c r="F4" i="3"/>
  <c r="I4" i="3" s="1"/>
  <c r="I3" i="3"/>
  <c r="F8" i="3" l="1"/>
  <c r="F11" i="3" s="1"/>
  <c r="I11" i="3" s="1"/>
  <c r="G24" i="6"/>
  <c r="C46" i="4"/>
  <c r="D46" i="4"/>
  <c r="G5" i="4"/>
  <c r="G37" i="4"/>
  <c r="G4" i="4"/>
  <c r="F10" i="3" l="1"/>
  <c r="I10" i="3" s="1"/>
  <c r="F12" i="3"/>
  <c r="I12" i="3" s="1"/>
  <c r="I8" i="3"/>
  <c r="F9" i="3"/>
  <c r="I9" i="3" s="1"/>
  <c r="F9" i="21"/>
  <c r="I9" i="21" s="1"/>
  <c r="F10" i="21"/>
  <c r="I10" i="21" s="1"/>
  <c r="F11" i="21"/>
  <c r="I11" i="21" s="1"/>
  <c r="I8" i="21"/>
  <c r="F12" i="21"/>
  <c r="I12" i="21" s="1"/>
  <c r="G46" i="4"/>
  <c r="F9" i="2" l="1"/>
  <c r="I9" i="2" s="1"/>
  <c r="F4" i="2"/>
  <c r="I4" i="2" s="1"/>
  <c r="I3" i="2"/>
  <c r="I8" i="2"/>
  <c r="H5" i="2"/>
  <c r="H10" i="2"/>
  <c r="F5" i="2"/>
  <c r="I5" i="2" s="1"/>
  <c r="F10" i="2"/>
  <c r="I10" i="2" s="1"/>
  <c r="F12" i="2"/>
  <c r="I12" i="2" s="1"/>
  <c r="F11" i="2"/>
  <c r="I11" i="2" s="1"/>
  <c r="F7" i="2"/>
  <c r="I7" i="2" s="1"/>
  <c r="F6" i="2"/>
  <c r="I6" i="2" s="1"/>
</calcChain>
</file>

<file path=xl/sharedStrings.xml><?xml version="1.0" encoding="utf-8"?>
<sst xmlns="http://schemas.openxmlformats.org/spreadsheetml/2006/main" count="1904" uniqueCount="462">
  <si>
    <t>№ п.п.</t>
  </si>
  <si>
    <t>Наименование</t>
  </si>
  <si>
    <t>Ед. изм.</t>
  </si>
  <si>
    <t>Коэф. расхода</t>
  </si>
  <si>
    <t>Объем</t>
  </si>
  <si>
    <t>пог. м</t>
  </si>
  <si>
    <t>кг</t>
  </si>
  <si>
    <t>м2</t>
  </si>
  <si>
    <t>Грунтовка БЕТОН-КОНТАКТ_/</t>
  </si>
  <si>
    <t xml:space="preserve">Ведомость работ и используемых материалов </t>
  </si>
  <si>
    <t xml:space="preserve">Устройство наливных полов с огрунтовкой поверхности и проклейкой демпферной лентой / толщ. до 10 мм </t>
  </si>
  <si>
    <t>Наливной пол_ / Унифицированный по ПИК-СТАНДАРТ</t>
  </si>
  <si>
    <t>Лента кромочная демпферная_/8*100мм/20м</t>
  </si>
  <si>
    <t>Грунтовка универсальный ЛАСТИМИН_ / УНКОНТ ЛЮКС LP51 А</t>
  </si>
  <si>
    <t>Устройство разделительного слоя / из пленки полиэтиленовой / в 1 слой</t>
  </si>
  <si>
    <t>Пленка полиэтиленовая_/200мкр</t>
  </si>
  <si>
    <t>Обработка полов гидрофобизирующим составом</t>
  </si>
  <si>
    <t>Пропитка для бетонных поверхностей  / Элакор МБ1</t>
  </si>
  <si>
    <t>Грунтовка силикатная КМ0 Прозрачный</t>
  </si>
  <si>
    <t>Затирка, уход, полировка полов мех.способом</t>
  </si>
  <si>
    <t>Цемент- / Портланд / М500</t>
  </si>
  <si>
    <t>Устройство стяжки СКБ / армированная сеткой от 21 мм до 40мм</t>
  </si>
  <si>
    <t>Фиксатор арматуры Звездочка_/15/4-16</t>
  </si>
  <si>
    <t>Смесь цементно-песчаная сухая_/М200</t>
  </si>
  <si>
    <t>Сетка эл/св_/100*100*5</t>
  </si>
  <si>
    <t>Устройство стяжки СКБ / армированная сеткой от 41 мм до 60мм</t>
  </si>
  <si>
    <t>Устройство стяжки СКБ / армированная сеткой от 61мм до 80мм</t>
  </si>
  <si>
    <t>Смесь цементно-песчаная сухая_/М150</t>
  </si>
  <si>
    <t>Сетка эл/св_/100*100*4</t>
  </si>
  <si>
    <t>6.3.1.5.1.1.3.1</t>
  </si>
  <si>
    <t>6.3.1.5.1.1.6.3</t>
  </si>
  <si>
    <t>6.3.1.5.1.1.9.1</t>
  </si>
  <si>
    <t>6.3.1.5.1.1.10.1</t>
  </si>
  <si>
    <t>6.3.1.5.1.1.11.2</t>
  </si>
  <si>
    <t>6.3.1.5.1.1.11.3</t>
  </si>
  <si>
    <t>6.3.1.5.1.1.11.4</t>
  </si>
  <si>
    <t>Тип</t>
  </si>
  <si>
    <t>Типы 9, 9.1, 9.2, 9.3, 11, 11.1</t>
  </si>
  <si>
    <t>Типы 5, 5.1 - обеспыливание</t>
  </si>
  <si>
    <t>Тип 4.4</t>
  </si>
  <si>
    <t>Тип 7.1
40мм</t>
  </si>
  <si>
    <t>шт</t>
  </si>
  <si>
    <t>Типы 8.3, 9.1, 9.3
60мм</t>
  </si>
  <si>
    <t>Типы 6, 6.1, 7, 7.2, 8.1, 8.2, 9, 9.2</t>
  </si>
  <si>
    <t>Типы 11, 11.1
68мм</t>
  </si>
  <si>
    <t>Тип 5
70мм</t>
  </si>
  <si>
    <t>Типы 4.4, 5.1
80мм</t>
  </si>
  <si>
    <t>Типы 4.4, 5, 5.1, 6, 6.1, 7, 7.1, 7.2, 8.1, 8.2, 9, 9.1</t>
  </si>
  <si>
    <t>Спецификация выполненных работ</t>
  </si>
  <si>
    <t>Итог</t>
  </si>
  <si>
    <t>Помещения:</t>
  </si>
  <si>
    <t>Объем, м²</t>
  </si>
  <si>
    <t>сумма:</t>
  </si>
  <si>
    <t>2.001</t>
  </si>
  <si>
    <t>2.002</t>
  </si>
  <si>
    <t>2.003</t>
  </si>
  <si>
    <t>2.004</t>
  </si>
  <si>
    <t>2.005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</si>
  <si>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</si>
  <si>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</si>
  <si>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</si>
  <si>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</si>
  <si>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</si>
  <si>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</si>
  <si>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</si>
  <si>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</si>
  <si>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</si>
  <si>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2.016</t>
  </si>
  <si>
    <t>2.017</t>
  </si>
  <si>
    <t>2.162</t>
  </si>
  <si>
    <t>2.075</t>
  </si>
  <si>
    <t>2.080</t>
  </si>
  <si>
    <t>2.088</t>
  </si>
  <si>
    <t>2.089</t>
  </si>
  <si>
    <t>2.090</t>
  </si>
  <si>
    <t>2.091</t>
  </si>
  <si>
    <t>2.094</t>
  </si>
  <si>
    <t>2.095</t>
  </si>
  <si>
    <t>2.096</t>
  </si>
  <si>
    <t>2.097</t>
  </si>
  <si>
    <t>2.098</t>
  </si>
  <si>
    <t>2.099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</si>
  <si>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</si>
  <si>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</si>
  <si>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</si>
  <si>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</si>
  <si>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</si>
  <si>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</si>
  <si>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</si>
  <si>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</si>
  <si>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</si>
  <si>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2.109</t>
  </si>
  <si>
    <t>2.168</t>
  </si>
  <si>
    <t>Типы</t>
  </si>
  <si>
    <t>3.077.2</t>
  </si>
  <si>
    <t xml:space="preserve">Типы 8.3
</t>
  </si>
  <si>
    <t>Типы 6.1, 7.2, 9.2</t>
  </si>
  <si>
    <t>Блок</t>
  </si>
  <si>
    <t>№ пом.</t>
  </si>
  <si>
    <t>1</t>
  </si>
  <si>
    <t>4.1</t>
  </si>
  <si>
    <t>7.2</t>
  </si>
  <si>
    <t>Устройство тепло-звукоизоляции полов / минвата / в 1 слой</t>
  </si>
  <si>
    <t>Плита минераловатная_ / Технолайт Экстра</t>
  </si>
  <si>
    <t>Типы 5, 6, 7, 7.2, 8.1, 8.2, 9, 9.1</t>
  </si>
  <si>
    <t>м3</t>
  </si>
  <si>
    <t xml:space="preserve">сумма: </t>
  </si>
  <si>
    <t>Спецификация выполненных работ (2 этаж)</t>
  </si>
  <si>
    <t>Спецификация выполненных работ (1 этаж)</t>
  </si>
  <si>
    <t>Спецификация выполненных работ. 3 этаж.</t>
  </si>
  <si>
    <t>Спецификация выполненных работ. 1 этаж.</t>
  </si>
  <si>
    <t>Спецификация выполненных работ. 2 этаж.</t>
  </si>
  <si>
    <t xml:space="preserve">2.075; 2.080; </t>
  </si>
  <si>
    <t>`-</t>
  </si>
  <si>
    <t>сумма</t>
  </si>
  <si>
    <t>Типы 4.4, 6, 6.1, 7, 7.1, 8.1, 8.2, 9</t>
  </si>
  <si>
    <t>Типы 9.3
60мм</t>
  </si>
  <si>
    <t>1эт</t>
  </si>
  <si>
    <t>2эт</t>
  </si>
  <si>
    <t>3 эт</t>
  </si>
  <si>
    <t>1.1.2.1.1.1.1.1</t>
  </si>
  <si>
    <t>1.1.2.1.1.1.1.1.1</t>
  </si>
  <si>
    <t>1.1.2.1.1.1.1.1.2</t>
  </si>
  <si>
    <t>1.1.2.1.1.1.1.1.3</t>
  </si>
  <si>
    <t>1.1.2.1.1.1.1.2</t>
  </si>
  <si>
    <t>сделать</t>
  </si>
  <si>
    <t xml:space="preserve">Типы 4.4, 5, 5.1, 6, 6.1, 7, 7.1, 7.2, 8.1, 8.2, 9, 9.1
</t>
  </si>
  <si>
    <t>1.1.2.1.1.1.1.2.1</t>
  </si>
  <si>
    <t>1.1.2.1.1.1.1.3</t>
  </si>
  <si>
    <t>1.1.2.1.1.1.1.3.1</t>
  </si>
  <si>
    <t>1.1.2.1.1.1.1.3.2</t>
  </si>
  <si>
    <t>1.1.2.1.1.1.1.4</t>
  </si>
  <si>
    <t>1.1.2.1.1.1.1.4.1</t>
  </si>
  <si>
    <t>1.1.2.1.1.1.1.5</t>
  </si>
  <si>
    <t>1.1.2.1.1.1.1.5.1</t>
  </si>
  <si>
    <t>1.1.2.1.1.1.1.5.2</t>
  </si>
  <si>
    <t>1.1.2.1.1.1.1.5.3</t>
  </si>
  <si>
    <t>1.1.2.1.1.1.1.5.4</t>
  </si>
  <si>
    <t>1.1.2.1.1.1.1.6</t>
  </si>
  <si>
    <t>1.1.2.1.1.1.1.6.1</t>
  </si>
  <si>
    <t>1.1.2.1.1.1.1.6.2</t>
  </si>
  <si>
    <t>1.1.2.1.1.1.1.6.3</t>
  </si>
  <si>
    <t>1.1.2.1.1.1.1.6.4</t>
  </si>
  <si>
    <t>1.1.2.1.1.1.1.7</t>
  </si>
  <si>
    <t>1.1.2.1.1.1.1.7.1</t>
  </si>
  <si>
    <t>1.1.2.1.1.1.1.7.2</t>
  </si>
  <si>
    <t>1.1.2.1.1.1.1.7.3</t>
  </si>
  <si>
    <t>1.1.2.1.1.1.1.7.4</t>
  </si>
  <si>
    <t>1.1.2.1.1.1.1.8</t>
  </si>
  <si>
    <t>1.1.2.1.1.1.1.8.1</t>
  </si>
  <si>
    <t>1.1.2.1.1.1.1.8.2</t>
  </si>
  <si>
    <t>1.1.2.1.1.1.1.8.3</t>
  </si>
  <si>
    <t>1.1.2.1.1.1.1.8.4</t>
  </si>
  <si>
    <t>1.1.2.1.1.1.1.8.5</t>
  </si>
  <si>
    <t>1.1.2.1.1.1.1.9</t>
  </si>
  <si>
    <t>1.1.2.1.1.1.1.9.1</t>
  </si>
  <si>
    <t>1.1.2.1.1.1.1.9.2</t>
  </si>
  <si>
    <t>1.1.2.1.1.1.1.9.3</t>
  </si>
  <si>
    <t>1.1.2.1.1.1.1.9.4</t>
  </si>
  <si>
    <t>1.1.2.1.1.1.1.10</t>
  </si>
  <si>
    <t>1.1.2.1.1.1.1.10.1</t>
  </si>
  <si>
    <t>1.1.2.1.1.1.1.10.2</t>
  </si>
  <si>
    <t>1.1.2.1.1.1.1.10.3</t>
  </si>
  <si>
    <t>1.1.2.1.1.1.1.10.4</t>
  </si>
  <si>
    <t>1.1.2.1.1.1.2</t>
  </si>
  <si>
    <t>6.3.1.5.1.2</t>
  </si>
  <si>
    <t>Гидроизоляция, тепло-звукоизоляция, утепление</t>
  </si>
  <si>
    <t>1.1.2.1.1.1.2.1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</si>
  <si>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</si>
  <si>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</si>
  <si>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</si>
  <si>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1.1.2.1.1.1.2.1.1</t>
  </si>
  <si>
    <t>Праймер битумный_ / Технониколь №01</t>
  </si>
  <si>
    <t>1.1.2.1.1.1.2.1.2</t>
  </si>
  <si>
    <t>Мастика_ / Технониколь / №21</t>
  </si>
  <si>
    <t>5 мм</t>
  </si>
  <si>
    <t>1.1.2.1.1.1.2.1.3</t>
  </si>
  <si>
    <t>Лента армированная Серпянка 150мм</t>
  </si>
  <si>
    <t>1.1.2.1.1.1.2.2</t>
  </si>
  <si>
    <t>6.3.1.5.1.2.4.1</t>
  </si>
  <si>
    <t>Сделать</t>
  </si>
  <si>
    <t>1.1.2.1.1.1.2.2.1</t>
  </si>
  <si>
    <t xml:space="preserve"> Типы 5, 6, 7, 7.2, 8.1, 8.2, 9, 9.1
Технофас Экстра плотностью 90
50 мм</t>
  </si>
  <si>
    <t>1.1.2.1.1.1.2.3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</si>
  <si>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</si>
  <si>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</si>
  <si>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</si>
  <si>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1.1.2.1.1.1.2.3.1</t>
  </si>
  <si>
    <t>Экструдированный пенополистирол_/плотность – 45 кг/м3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</si>
  <si>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</si>
  <si>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</si>
  <si>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</si>
  <si>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</si>
  <si>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</si>
  <si>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</si>
  <si>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</si>
  <si>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1.1.2.1.1.1.3.1.1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</si>
  <si>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</si>
  <si>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</si>
  <si>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1.1.2.1.1.1.3.1.2</t>
  </si>
  <si>
    <t>Керамическая плитка Коллиано_ / Серый / SG913000N / 300*300*8мм</t>
  </si>
  <si>
    <t>1.1.2.1.1.1.3.1.3</t>
  </si>
  <si>
    <t>Затирка Цезерит СE33_/13 атрацит</t>
  </si>
  <si>
    <t>1.1.2.1.1.1.3.1.4</t>
  </si>
  <si>
    <t>Грунтовка универсальный ЛАСТИМИН_ / LP-51 А</t>
  </si>
  <si>
    <t>1.1.2.1.1.1.3.2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</si>
  <si>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</si>
  <si>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</si>
  <si>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</si>
  <si>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1.1.2.1.1.1.3.2.1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</si>
  <si>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</si>
  <si>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</si>
  <si>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1.1.2.1.1.1.3.2.2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</si>
  <si>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</si>
  <si>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</si>
  <si>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1.1.2.1.1.1.3.2.3</t>
  </si>
  <si>
    <t>Затирка Цезерит СE33_/04 серебристо-серый</t>
  </si>
  <si>
    <t>1.1.2.1.1.1.3.2.4</t>
  </si>
  <si>
    <t>1.1.2.1.1.1.3.3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</si>
  <si>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</si>
  <si>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</si>
  <si>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</si>
  <si>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</si>
  <si>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1.1.2.1.1.1.3.3.1</t>
  </si>
  <si>
    <t>Грунтовка _ / универсальная водно-дисперсионная</t>
  </si>
  <si>
    <t>1.1.2.1.1.1.3.3.2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</si>
  <si>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</si>
  <si>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1.1.2.1.1.1.3.3.3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</si>
  <si>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</si>
  <si>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</si>
  <si>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1.1.2.1.1.1.3.3.4</t>
  </si>
  <si>
    <t>Линолеум (для объектов СКБ)_ / 4 мм  / серый / Omnisports ACTION R40 GREY / Tarkett / - / Спортивный линолеум для школы</t>
  </si>
  <si>
    <t>1.1.2.1.1.1.3.3.5</t>
  </si>
  <si>
    <t>Клей для линолеума</t>
  </si>
  <si>
    <t>1.1.2.1.1.1.3.4</t>
  </si>
  <si>
    <t>6.3.1.5.1.3.8.1</t>
  </si>
  <si>
    <t>Установка стыковочных профилей</t>
  </si>
  <si>
    <t>тип 7.1</t>
  </si>
  <si>
    <t>1.1.2.1.1.1.3.4.1</t>
  </si>
  <si>
    <t>Профиль Г-образный алюминиевый / ПМЮ-017</t>
  </si>
  <si>
    <t>1.1.2.1.1.1.3.4.2</t>
  </si>
  <si>
    <t>Жидкие гвозди универсальные_/</t>
  </si>
  <si>
    <t>1.1.2.1.1.1.3.5</t>
  </si>
  <si>
    <t>тип ПР-1</t>
  </si>
  <si>
    <t>1.1.2.1.1.1.3.5.1</t>
  </si>
  <si>
    <t>Профиль T-образный ПМЮ-01_ / серебро матовое / 2700*30</t>
  </si>
  <si>
    <t>1.1.2.1.1.1.3.5.2</t>
  </si>
  <si>
    <t>Профиль, ПМЮ-08_ / 2700мм</t>
  </si>
  <si>
    <t>ответная часть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</si>
  <si>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</si>
  <si>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</si>
  <si>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</si>
  <si>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</si>
  <si>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1.1.2.1.1.1.3.6.1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</si>
  <si>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</si>
  <si>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</si>
  <si>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1.1.2.1.1.1.3.6.2</t>
  </si>
  <si>
    <t>Клей плиточный Ceresit ( для объектов переселения ) / СМ16</t>
  </si>
  <si>
    <t>Клей для керамогранита CERESIT CM 12/25</t>
  </si>
  <si>
    <t>1.1.2.1.1.1.3.6.3</t>
  </si>
  <si>
    <t>1.1.2.1.1.1.3.6.4</t>
  </si>
  <si>
    <t>1.1.2.1.1.1.3.7</t>
  </si>
  <si>
    <t>тип ПЛ-1</t>
  </si>
  <si>
    <t>1.1.2.1.1.1.3.7.1</t>
  </si>
  <si>
    <t>1.1.2.1.1.1.3.7.2</t>
  </si>
  <si>
    <t>1.1.2.1.1.1.3.7.3</t>
  </si>
  <si>
    <t>Керамический гранит "Грес"_/А 100/бежевый/300х300х7мм</t>
  </si>
  <si>
    <t>1.1.2.1.1.1.3.7.4</t>
  </si>
  <si>
    <t>1.1.2.1.1.1.3.8</t>
  </si>
  <si>
    <t>1.1.2.1.1.1.3.8.1</t>
  </si>
  <si>
    <t>1.1.2.1.1.1.3.8.2</t>
  </si>
  <si>
    <t>1.1.2.1.1.1.3.8.3</t>
  </si>
  <si>
    <t>1.1.2.1.1.1.3.8.4</t>
  </si>
  <si>
    <t>1.1.2.1.1.1.3.9</t>
  </si>
  <si>
    <t>6.3.1.5.1.3.14.1</t>
  </si>
  <si>
    <t>Устройство покрытия пола из кварцвинила / на клею</t>
  </si>
  <si>
    <t>тип 9, 9.2</t>
  </si>
  <si>
    <t>1.1.2.1.1.1.3.9.1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</si>
  <si>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</si>
  <si>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</si>
  <si>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1.1.2.1.1.1.3.9.2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</si>
  <si>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</si>
  <si>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</si>
  <si>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1.1.2.1.1.1.3.10</t>
  </si>
  <si>
    <t>6.3.1.5.1.3.16.4</t>
  </si>
  <si>
    <t>Установка напольного плинтуса / полимерного на клею</t>
  </si>
  <si>
    <t>тип ПЛ-2</t>
  </si>
  <si>
    <t>1.1.2.1.1.1.3.10.1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</si>
  <si>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</si>
  <si>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</si>
  <si>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1.1.2.1.1.1.4</t>
  </si>
  <si>
    <t>6.3.1.5.1.4</t>
  </si>
  <si>
    <t>Приямки, системы грязезащиты</t>
  </si>
  <si>
    <t>1.1.2.1.1.1.4.1</t>
  </si>
  <si>
    <t>6.3.1.5.1.4.1.1</t>
  </si>
  <si>
    <t>Укладка систем грязезащиты на пол</t>
  </si>
  <si>
    <t>Тип 7.1</t>
  </si>
  <si>
    <t>1.1.2.1.1.1.4.1.1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</si>
  <si>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</si>
  <si>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</si>
  <si>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</si>
  <si>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</si>
  <si>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</si>
  <si>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</si>
  <si>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</si>
  <si>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Коэф.расхода</t>
  </si>
  <si>
    <t>Кол-во БО</t>
  </si>
  <si>
    <t>Общее кол-во</t>
  </si>
  <si>
    <t>2-Пл-Л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</si>
  <si>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</si>
  <si>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</si>
  <si>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</si>
  <si>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</si>
  <si>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</si>
  <si>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</si>
  <si>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</si>
  <si>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</si>
  <si>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№ помещения</t>
  </si>
  <si>
    <t>Площадь, 
м2</t>
  </si>
  <si>
    <t>1.027</t>
  </si>
  <si>
    <t>1.028</t>
  </si>
  <si>
    <t>1.029</t>
  </si>
  <si>
    <t>1.030</t>
  </si>
  <si>
    <t>1.031</t>
  </si>
  <si>
    <t>1.032</t>
  </si>
  <si>
    <t>3.002</t>
  </si>
  <si>
    <t>3.003</t>
  </si>
  <si>
    <t>3.004</t>
  </si>
  <si>
    <t>3.008</t>
  </si>
  <si>
    <t>3.009</t>
  </si>
  <si>
    <t>3.010</t>
  </si>
  <si>
    <t>3.011</t>
  </si>
  <si>
    <t>3.012</t>
  </si>
  <si>
    <t>3.013</t>
  </si>
  <si>
    <t>1.033</t>
  </si>
  <si>
    <t>Итог, м2:</t>
  </si>
  <si>
    <t>Сумма, м2:</t>
  </si>
  <si>
    <t>1 эт. отм. 0.000</t>
  </si>
  <si>
    <t>2 эт. отм. +4.200</t>
  </si>
  <si>
    <t>3 эт. отм. +8.400</t>
  </si>
  <si>
    <t>Описание</t>
  </si>
  <si>
    <t>Тип 9</t>
  </si>
  <si>
    <t>Тип 11</t>
  </si>
  <si>
    <t>2.111</t>
  </si>
  <si>
    <t>2.114</t>
  </si>
  <si>
    <t>2.115</t>
  </si>
  <si>
    <t>2.117</t>
  </si>
  <si>
    <t>2.112</t>
  </si>
  <si>
    <t>2.116</t>
  </si>
  <si>
    <t>2.166</t>
  </si>
  <si>
    <t>2.167</t>
  </si>
  <si>
    <t>Устройство стяжки СКБ / армированная сеткой от 61мм до 80 мм</t>
  </si>
  <si>
    <t>Тип 6.1</t>
  </si>
  <si>
    <t>Тип 6.1, М200, толщиной 65 мм.</t>
  </si>
  <si>
    <t>Тип 11, М200, толщиной 68 мм.</t>
  </si>
  <si>
    <t>Устройство наливных полов с огрунтовкой поверхности и проклейкой демпферной лентой / толщ. до 10 мм</t>
  </si>
  <si>
    <t>Устройство звукоизоляции полов / в 1 слой</t>
  </si>
  <si>
    <t>Тип 11
нахлест на стены 100 мм.</t>
  </si>
  <si>
    <t>№</t>
  </si>
  <si>
    <t>Тип 5, 5.1</t>
  </si>
  <si>
    <t>№ Блок</t>
  </si>
  <si>
    <t>1 этаж</t>
  </si>
  <si>
    <t>2 этаж</t>
  </si>
  <si>
    <t>3 этаж</t>
  </si>
  <si>
    <t>Итог:</t>
  </si>
  <si>
    <t>Поз</t>
  </si>
  <si>
    <t>Устройство покрытия пола СКБ с затиркой и укрытием ДВП / из керамогранитной плитки от 0,2м2/шт</t>
  </si>
  <si>
    <t>Пом</t>
  </si>
  <si>
    <t>1.053</t>
  </si>
  <si>
    <t>1.054</t>
  </si>
  <si>
    <t>7.1</t>
  </si>
  <si>
    <t>1этаж, блок 4.1. Пол Тип: 6, 7, 7.1.</t>
  </si>
  <si>
    <t>Тип 7.1
Утеплитель ТЕХНОНИКОЛЬ</t>
  </si>
  <si>
    <t>НЗ № 8 от 17.11.2025 Отделка лестниц: ЛК9, ЛК10, ЛК11. Полы Тип: 6</t>
  </si>
  <si>
    <t>ЛК9, Тип-6</t>
  </si>
  <si>
    <t>ЛК10, Тип-6</t>
  </si>
  <si>
    <t>ЛК11, Тип-6</t>
  </si>
  <si>
    <t>1.025</t>
  </si>
  <si>
    <t>1.047</t>
  </si>
  <si>
    <t>1.052</t>
  </si>
  <si>
    <t>1.038</t>
  </si>
  <si>
    <t>8.1</t>
  </si>
  <si>
    <t>8.2</t>
  </si>
  <si>
    <t>9</t>
  </si>
  <si>
    <t>9.1</t>
  </si>
  <si>
    <t>2</t>
  </si>
  <si>
    <t>НЗ № 8 от 17.11.2025 Отделка лестниц: ЛК9, ЛК10, ЛК11. Полы Тип: 6.</t>
  </si>
  <si>
    <t>.</t>
  </si>
  <si>
    <t>4.4</t>
  </si>
  <si>
    <t>5</t>
  </si>
  <si>
    <t>5.1</t>
  </si>
  <si>
    <t>6</t>
  </si>
  <si>
    <t>6.1</t>
  </si>
  <si>
    <t>7</t>
  </si>
  <si>
    <t>Устройство покрытия пола СКБ с затиркой и укрытием ДВП / из керамогранитной плитки до 0,2м2/шт</t>
  </si>
  <si>
    <t>1, 2, 3, этажи, блок 1. Пол Тип: 8.2 , 8.3</t>
  </si>
  <si>
    <t>1.037</t>
  </si>
  <si>
    <t>8.3</t>
  </si>
  <si>
    <t>Объем, м2:</t>
  </si>
  <si>
    <t>3.018</t>
  </si>
  <si>
    <t>3.092</t>
  </si>
  <si>
    <t>1.034</t>
  </si>
  <si>
    <t>1.035</t>
  </si>
  <si>
    <t>1.036</t>
  </si>
  <si>
    <t>3.015</t>
  </si>
  <si>
    <t>3.016</t>
  </si>
  <si>
    <t>3.017</t>
  </si>
  <si>
    <t>1.045</t>
  </si>
  <si>
    <t>1.046</t>
  </si>
  <si>
    <t>1, 2, 3, этажи, блоки 1 и 4.1. Пол Тип: 6, 7.2</t>
  </si>
  <si>
    <t>Алмазная резка железобетонных конструкций (учтены расходные материалы)_ / 180 мм</t>
  </si>
  <si>
    <t>пог.м.</t>
  </si>
  <si>
    <t>Демонтаж бетона с сохранением арматуры</t>
  </si>
  <si>
    <t>Устройство кирпичной кирпичной кладки</t>
  </si>
  <si>
    <t>Устройство монолитных лестничных маршей (М400)</t>
  </si>
  <si>
    <t>ММП6.1</t>
  </si>
  <si>
    <t>Пол Тип: 6.1.</t>
  </si>
  <si>
    <t>ММП1</t>
  </si>
  <si>
    <t>ММП2</t>
  </si>
  <si>
    <t>Тип: 6, 6.1, 6.2</t>
  </si>
  <si>
    <t>Облицовка ступеней СКБ керамогранитной плиткой с затиркой швов</t>
  </si>
  <si>
    <t>Тип: 6.3</t>
  </si>
  <si>
    <t>Тип: 6.4</t>
  </si>
  <si>
    <t>Устройство плинтуса из керамогранитной плитки СКБ</t>
  </si>
  <si>
    <t>Тип: ПЛ-3</t>
  </si>
  <si>
    <t>пог. м.</t>
  </si>
  <si>
    <t>ЛК-9</t>
  </si>
  <si>
    <t>ЛК-10</t>
  </si>
  <si>
    <t>ЛК-11</t>
  </si>
  <si>
    <t>Пом.:</t>
  </si>
  <si>
    <t>ПЛ-3, п.м.</t>
  </si>
  <si>
    <t>1, 2, 3, этажи, блоки 1 и 4.1. Пол Тип: 7.2</t>
  </si>
  <si>
    <t>1, 2, 3, этажи, блок 1. Пол Тип: 8.2 , 8.3, 7.2</t>
  </si>
  <si>
    <t>Ведомость работ</t>
  </si>
  <si>
    <t>Ведомость работ, лестницы</t>
  </si>
  <si>
    <t>Ведомость работ С/У</t>
  </si>
  <si>
    <t xml:space="preserve">Ведомость работ </t>
  </si>
  <si>
    <t>РД</t>
  </si>
  <si>
    <t>2.1 По КП</t>
  </si>
  <si>
    <t>этаж</t>
  </si>
  <si>
    <t>9.2</t>
  </si>
  <si>
    <t>9.3</t>
  </si>
  <si>
    <t>11</t>
  </si>
  <si>
    <t>11.1</t>
  </si>
  <si>
    <t>1.026</t>
  </si>
  <si>
    <t>1.039</t>
  </si>
  <si>
    <t>2.082</t>
  </si>
  <si>
    <t>2.081</t>
  </si>
  <si>
    <t>2.085</t>
  </si>
  <si>
    <t>3.001</t>
  </si>
  <si>
    <t>3.005</t>
  </si>
  <si>
    <t>3.014</t>
  </si>
  <si>
    <t>3.019</t>
  </si>
  <si>
    <t>3.020</t>
  </si>
  <si>
    <t>Устройство покрытия пола из кварцвинила / на клею (линолеум) / тип 9, 9.2</t>
  </si>
  <si>
    <t>Сумма:</t>
  </si>
  <si>
    <t>1.040</t>
  </si>
  <si>
    <t>1.043</t>
  </si>
  <si>
    <t>1.044</t>
  </si>
  <si>
    <t>1.049</t>
  </si>
  <si>
    <t>1.050</t>
  </si>
  <si>
    <t>1.051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</si>
</sst>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,##0.000"/>
  </numFmts>
  <fonts count="17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b/>
      <sz val="16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i/>
      <sz val="14"/>
      <color rgb="FF000000"/>
      <name val="ГОСТ тип А"/>
      <family val="2"/>
      <charset val="204"/>
    </font>
    <font>
      <sz val="14"/>
      <color rgb="FF8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color rgb="FFFF0000"/>
      <name val="ГОСТ тип А"/>
      <family val="2"/>
      <charset val="204"/>
    </font>
    <font>
      <b/>
      <sz val="14"/>
      <name val="ГОСТ тип А"/>
      <family val="2"/>
      <charset val="204"/>
    </font>
    <font>
      <sz val="14"/>
      <name val="ГОСТ тип А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EDAFB"/>
        <bgColor indexed="64"/>
      </patternFill>
    </fill>
    <fill>
      <patternFill patternType="solid">
        <fgColor rgb="FFF880AE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2" fontId="0" fillId="0" borderId="0" xfId="0" applyNumberFormat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5" fontId="2" fillId="0" borderId="2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164" fontId="2" fillId="0" borderId="1" xfId="0" applyNumberFormat="1" applyFont="1" applyBorder="1" applyAlignment="1">
      <alignment vertical="center"/>
    </xf>
    <xf numFmtId="164" fontId="0" fillId="0" borderId="0" xfId="0" applyNumberFormat="1"/>
    <xf numFmtId="0" fontId="3" fillId="0" borderId="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right" vertical="center"/>
    </xf>
    <xf numFmtId="0" fontId="4" fillId="0" borderId="5" xfId="0" applyFont="1" applyFill="1" applyBorder="1"/>
    <xf numFmtId="2" fontId="2" fillId="0" borderId="8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1" xfId="0" applyFont="1" applyFill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wrapText="1"/>
    </xf>
    <xf numFmtId="16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wrapText="1"/>
    </xf>
    <xf numFmtId="164" fontId="2" fillId="9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/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8" fillId="10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166" fontId="7" fillId="11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166" fontId="7" fillId="12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166" fontId="1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5" xfId="0" applyFont="1" applyBorder="1"/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11" fillId="0" borderId="0" xfId="0" applyFont="1"/>
    <xf numFmtId="0" fontId="13" fillId="0" borderId="1" xfId="0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/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/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49" fontId="11" fillId="0" borderId="0" xfId="0" applyNumberFormat="1" applyFont="1"/>
    <xf numFmtId="49" fontId="0" fillId="0" borderId="0" xfId="0" applyNumberFormat="1"/>
    <xf numFmtId="0" fontId="13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3" fillId="0" borderId="1" xfId="0" applyFont="1" applyFill="1" applyBorder="1" applyAlignment="1">
      <alignment horizontal="center" vertical="center" wrapText="1"/>
    </xf>
    <xf numFmtId="2" fontId="11" fillId="0" borderId="0" xfId="0" applyNumberFormat="1" applyFont="1"/>
    <xf numFmtId="0" fontId="1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5" fontId="12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" fontId="16" fillId="0" borderId="19" xfId="0" applyNumberFormat="1" applyFont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 wrapText="1"/>
    </xf>
    <xf numFmtId="4" fontId="16" fillId="13" borderId="19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3" fillId="0" borderId="5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880AE"/>
      <color rgb="FF9D1365"/>
      <color rgb="FFFEDAFB"/>
      <color rgb="FFFEC6FA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81:E105" totalsRowShown="0" dataDxfId="43" headerRowBorderDxfId="44" tableBorderDxfId="42" totalsRowBorderDxfId="41">
  <autoFilter ref="A81:E105">
    <filterColumn colId="3">
      <filters>
        <filter val="6,1"/>
        <filter val="7,2"/>
      </filters>
    </filterColumn>
  </autoFilter>
  <sortState ref="A82:E105">
    <sortCondition ref="D81:D105"/>
  </sortState>
  <tableColumns count="5">
    <tableColumn id="1" name="№ п.п." dataDxfId="40"/>
    <tableColumn id="2" name="Блок" dataDxfId="39"/>
    <tableColumn id="3" name="№ пом." dataDxfId="38"/>
    <tableColumn id="4" name="Типы" dataDxfId="37"/>
    <tableColumn id="5" name="Объем, м²" dataDxfId="3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32:E77" totalsRowShown="0" dataDxfId="34" headerRowBorderDxfId="35" tableBorderDxfId="33" totalsRowBorderDxfId="32">
  <autoFilter ref="A32:E77">
    <filterColumn colId="3">
      <filters>
        <filter val="4,4"/>
        <filter val="6,1"/>
        <filter val="7,2"/>
      </filters>
    </filterColumn>
  </autoFilter>
  <sortState ref="A34:E75">
    <sortCondition ref="D32:D77"/>
  </sortState>
  <tableColumns count="5">
    <tableColumn id="1" name="№ п.п." dataDxfId="31"/>
    <tableColumn id="2" name="Блок" dataDxfId="30"/>
    <tableColumn id="3" name="№ пом." dataDxfId="29"/>
    <tableColumn id="4" name="Типы" dataDxfId="28"/>
    <tableColumn id="5" name="Объем, м²" dataDxfId="27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2:E29" totalsRowShown="0" dataDxfId="25" headerRowBorderDxfId="26" tableBorderDxfId="24" totalsRowBorderDxfId="23">
  <autoFilter ref="A2:E29">
    <filterColumn colId="3">
      <filters>
        <filter val="6"/>
        <filter val="7,1"/>
        <filter val="8,1"/>
        <filter val="8,2"/>
        <filter val="9"/>
      </filters>
    </filterColumn>
  </autoFilter>
  <sortState ref="A3:E29">
    <sortCondition ref="D2:D29"/>
  </sortState>
  <tableColumns count="5">
    <tableColumn id="1" name="№ п.п." dataDxfId="22"/>
    <tableColumn id="2" name="Блок" dataDxfId="21"/>
    <tableColumn id="3" name="№ пом." dataDxfId="20"/>
    <tableColumn id="4" name="Типы" dataDxfId="19"/>
    <tableColumn id="5" name="Объем, м²" dataDxfId="18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1:R98" totalsRowShown="0" headerRowDxfId="17" dataDxfId="15" headerRowBorderDxfId="16" tableBorderDxfId="14" totalsRowBorderDxfId="13">
  <autoFilter ref="A1:R98">
    <filterColumn colId="1">
      <customFilters>
        <customFilter operator="notEqual" val=" "/>
      </customFilters>
    </filterColumn>
  </autoFilter>
  <tableColumns count="18">
    <tableColumn id="1" name="Номер п/п" dataDxfId="12"/>
    <tableColumn id="2" name="Код узла ИСР" dataDxfId="11"/>
    <tableColumn id="3" name="Наименование затрат"/>
    <tableColumn id="4" name="Комментарий по ИСР" dataDxfId="10"/>
    <tableColumn id="5" name="Комментарий подрядчика" dataDxfId="9"/>
    <tableColumn id="6" name="Ед. изм."/>
    <tableColumn id="7" name="Коэф.расхода"/>
    <tableColumn id="8" name="Кол-во БО"/>
    <tableColumn id="9" name="Общее кол-во"/>
    <tableColumn id="10" name="2-Пл-Л" dataDxfId="8"/>
    <tableColumn id="11" name="Столбец1" dataDxfId="7"/>
    <tableColumn id="12" name="Столбец2" dataDxfId="6"/>
    <tableColumn id="13" name="Столбец3" dataDxfId="5"/>
    <tableColumn id="14" name="Столбец4" dataDxfId="4"/>
    <tableColumn id="15" name="Столбец5" dataDxfId="3"/>
    <tableColumn id="16" name="Столбец6" dataDxfId="2"/>
    <tableColumn id="17" name="Столбец7" dataDxfId="1"/>
    <tableColumn id="18" name="Столбец8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Normal="100" workbookViewId="0">
      <selection activeCell="F8" sqref="F8"/>
    </sheetView>
  </sheetViews>
  <sheetFormatPr defaultRowHeight="14.4" x14ac:dyDescent="0.3"/>
  <cols>
    <col min="1" max="1" width="7.5546875" style="11" customWidth="1"/>
    <col min="2" max="2" width="50.33203125" style="12" customWidth="1"/>
    <col min="3" max="3" width="13.5546875" style="12" customWidth="1"/>
    <col min="4" max="4" width="9.109375" style="11" customWidth="1"/>
    <col min="5" max="5" width="14.5546875" style="13" customWidth="1"/>
    <col min="6" max="6" width="8.88671875" style="14" customWidth="1"/>
    <col min="7" max="14" width="0" hidden="1" customWidth="1"/>
  </cols>
  <sheetData>
    <row r="1" spans="1:14" x14ac:dyDescent="0.3">
      <c r="A1" s="1"/>
      <c r="B1" s="2" t="s">
        <v>9</v>
      </c>
      <c r="C1" s="15"/>
      <c r="D1" s="3"/>
      <c r="E1" s="4"/>
      <c r="F1" s="5"/>
      <c r="G1" s="16"/>
    </row>
    <row r="2" spans="1:14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14" ht="27" customHeight="1" x14ac:dyDescent="0.3">
      <c r="A3" s="51">
        <v>1</v>
      </c>
      <c r="B3" s="52" t="s">
        <v>25</v>
      </c>
      <c r="C3" s="52" t="s">
        <v>95</v>
      </c>
      <c r="D3" s="51" t="s">
        <v>7</v>
      </c>
      <c r="E3" s="53">
        <v>1</v>
      </c>
      <c r="F3" s="41">
        <f>'Спец 2 эт'!E46</f>
        <v>27.32</v>
      </c>
      <c r="G3" s="23">
        <v>122.25</v>
      </c>
      <c r="I3" s="32">
        <f t="shared" ref="I3:I12" si="0">F3-G3</f>
        <v>-94.93</v>
      </c>
      <c r="K3" s="48">
        <v>6.1</v>
      </c>
      <c r="L3" s="42">
        <v>7.2</v>
      </c>
      <c r="M3" s="39">
        <v>8.3000000000000007</v>
      </c>
      <c r="N3" s="45">
        <v>9.1999999999999993</v>
      </c>
    </row>
    <row r="4" spans="1:14" x14ac:dyDescent="0.3">
      <c r="A4" s="10">
        <v>1.1000000000000001</v>
      </c>
      <c r="B4" s="9" t="s">
        <v>22</v>
      </c>
      <c r="C4" s="9"/>
      <c r="D4" s="10" t="s">
        <v>41</v>
      </c>
      <c r="E4" s="8">
        <v>8</v>
      </c>
      <c r="F4" s="25">
        <f>ROUND(E4*F3, 0)</f>
        <v>219</v>
      </c>
      <c r="G4" s="16">
        <v>978</v>
      </c>
      <c r="I4" s="32">
        <f t="shared" si="0"/>
        <v>-759</v>
      </c>
    </row>
    <row r="5" spans="1:14" x14ac:dyDescent="0.3">
      <c r="A5" s="10">
        <v>1.2</v>
      </c>
      <c r="B5" s="30" t="s">
        <v>23</v>
      </c>
      <c r="C5" s="30"/>
      <c r="D5" s="10" t="s">
        <v>6</v>
      </c>
      <c r="E5" s="8">
        <v>1.8</v>
      </c>
      <c r="F5" s="25">
        <f>E5*F3*60</f>
        <v>2950.56</v>
      </c>
      <c r="G5" s="16">
        <v>13203</v>
      </c>
      <c r="H5">
        <f>G5/G3/E5</f>
        <v>60</v>
      </c>
      <c r="I5" s="32">
        <f t="shared" si="0"/>
        <v>-10252.44</v>
      </c>
    </row>
    <row r="6" spans="1:14" x14ac:dyDescent="0.3">
      <c r="A6" s="10">
        <v>1.3</v>
      </c>
      <c r="B6" s="9" t="s">
        <v>24</v>
      </c>
      <c r="C6" s="9"/>
      <c r="D6" s="10" t="s">
        <v>7</v>
      </c>
      <c r="E6" s="8">
        <v>1.1000000000000001</v>
      </c>
      <c r="F6" s="25">
        <f>E6*F3</f>
        <v>30.052000000000003</v>
      </c>
      <c r="G6" s="16">
        <v>134.47499999999999</v>
      </c>
      <c r="I6" s="32">
        <f t="shared" si="0"/>
        <v>-104.42299999999999</v>
      </c>
    </row>
    <row r="7" spans="1:14" x14ac:dyDescent="0.3">
      <c r="A7" s="10">
        <v>1.4</v>
      </c>
      <c r="B7" s="9" t="s">
        <v>12</v>
      </c>
      <c r="C7" s="9"/>
      <c r="D7" s="10" t="s">
        <v>5</v>
      </c>
      <c r="E7" s="8">
        <v>1</v>
      </c>
      <c r="F7" s="25">
        <f>E7*F3</f>
        <v>27.32</v>
      </c>
      <c r="G7" s="16">
        <v>122.25</v>
      </c>
      <c r="I7" s="32">
        <f t="shared" si="0"/>
        <v>-94.93</v>
      </c>
    </row>
    <row r="8" spans="1:14" ht="27" x14ac:dyDescent="0.3">
      <c r="A8" s="29">
        <v>2</v>
      </c>
      <c r="B8" s="28" t="s">
        <v>26</v>
      </c>
      <c r="C8" s="28" t="s">
        <v>96</v>
      </c>
      <c r="D8" s="29" t="s">
        <v>7</v>
      </c>
      <c r="E8" s="21">
        <v>1</v>
      </c>
      <c r="F8" s="22">
        <f>'Спец 2 эт'!C46+'Спец 2 эт'!D46+'Спец 2 эт'!F46</f>
        <v>1530.2199999999998</v>
      </c>
      <c r="G8" s="23">
        <v>5553.92</v>
      </c>
      <c r="I8" s="32">
        <f t="shared" si="0"/>
        <v>-4023.7000000000003</v>
      </c>
    </row>
    <row r="9" spans="1:14" x14ac:dyDescent="0.3">
      <c r="A9" s="10">
        <v>2.1</v>
      </c>
      <c r="B9" s="9" t="s">
        <v>22</v>
      </c>
      <c r="C9" s="9"/>
      <c r="D9" s="10" t="s">
        <v>41</v>
      </c>
      <c r="E9" s="8">
        <v>8</v>
      </c>
      <c r="F9" s="25">
        <f>ROUND(E9*F8, 0)</f>
        <v>12242</v>
      </c>
      <c r="G9" s="16">
        <v>44431.360000000001</v>
      </c>
      <c r="I9" s="32">
        <f t="shared" si="0"/>
        <v>-32189.360000000001</v>
      </c>
    </row>
    <row r="10" spans="1:14" x14ac:dyDescent="0.3">
      <c r="A10" s="10">
        <v>2.2000000000000002</v>
      </c>
      <c r="B10" s="30" t="s">
        <v>23</v>
      </c>
      <c r="C10" s="30"/>
      <c r="D10" s="10" t="s">
        <v>6</v>
      </c>
      <c r="E10" s="8">
        <v>1.8</v>
      </c>
      <c r="F10" s="25">
        <f>E10*F8*65</f>
        <v>179035.74</v>
      </c>
      <c r="G10" s="16">
        <v>649808.64000000001</v>
      </c>
      <c r="H10">
        <f>G10/G8/E10</f>
        <v>65</v>
      </c>
      <c r="I10" s="32">
        <f t="shared" si="0"/>
        <v>-470772.9</v>
      </c>
    </row>
    <row r="11" spans="1:14" x14ac:dyDescent="0.3">
      <c r="A11" s="10">
        <v>2.2999999999999998</v>
      </c>
      <c r="B11" s="30" t="s">
        <v>24</v>
      </c>
      <c r="C11" s="30"/>
      <c r="D11" s="10" t="s">
        <v>7</v>
      </c>
      <c r="E11" s="8">
        <v>1.1000000000000001</v>
      </c>
      <c r="F11" s="25">
        <f>E11*F8</f>
        <v>1683.242</v>
      </c>
      <c r="G11" s="16">
        <v>6109.3119999999999</v>
      </c>
      <c r="I11" s="32">
        <f t="shared" si="0"/>
        <v>-4426.07</v>
      </c>
    </row>
    <row r="12" spans="1:14" x14ac:dyDescent="0.3">
      <c r="A12" s="10">
        <v>2.4</v>
      </c>
      <c r="B12" s="30" t="s">
        <v>12</v>
      </c>
      <c r="C12" s="30"/>
      <c r="D12" s="10" t="s">
        <v>5</v>
      </c>
      <c r="E12" s="8">
        <v>1</v>
      </c>
      <c r="F12" s="25">
        <f>E12*F8</f>
        <v>1530.2199999999998</v>
      </c>
      <c r="G12" s="16">
        <v>5553.92</v>
      </c>
      <c r="I12" s="32">
        <f t="shared" si="0"/>
        <v>-4023.7000000000003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F8" sqref="F8"/>
    </sheetView>
  </sheetViews>
  <sheetFormatPr defaultRowHeight="14.4" x14ac:dyDescent="0.3"/>
  <cols>
    <col min="1" max="1" width="7" style="11" customWidth="1"/>
    <col min="2" max="2" width="11.109375" style="11" customWidth="1"/>
    <col min="3" max="6" width="8.6640625" style="11" customWidth="1"/>
    <col min="7" max="7" width="8.6640625" style="37" customWidth="1"/>
    <col min="8" max="10" width="0" hidden="1" customWidth="1"/>
  </cols>
  <sheetData>
    <row r="1" spans="1:10" x14ac:dyDescent="0.3">
      <c r="A1" s="215" t="s">
        <v>48</v>
      </c>
      <c r="B1" s="215"/>
      <c r="C1" s="215"/>
      <c r="D1" s="215"/>
      <c r="E1" s="215"/>
      <c r="F1" s="215"/>
      <c r="G1" s="215"/>
    </row>
    <row r="2" spans="1:10" x14ac:dyDescent="0.3">
      <c r="A2" s="10"/>
      <c r="B2" s="34" t="s">
        <v>93</v>
      </c>
      <c r="C2" s="48">
        <v>6.1</v>
      </c>
      <c r="D2" s="42">
        <v>7.2</v>
      </c>
      <c r="E2" s="39">
        <v>8.3000000000000007</v>
      </c>
      <c r="F2" s="45">
        <v>9.1999999999999993</v>
      </c>
      <c r="G2" s="35" t="s">
        <v>49</v>
      </c>
      <c r="H2" s="38">
        <v>4.4000000000000004</v>
      </c>
      <c r="I2" s="38">
        <v>11</v>
      </c>
      <c r="J2" s="38">
        <v>11.1</v>
      </c>
    </row>
    <row r="3" spans="1:10" x14ac:dyDescent="0.3">
      <c r="A3" s="10" t="s">
        <v>0</v>
      </c>
      <c r="B3" s="36" t="s">
        <v>50</v>
      </c>
      <c r="C3" s="49" t="s">
        <v>51</v>
      </c>
      <c r="D3" s="43" t="s">
        <v>51</v>
      </c>
      <c r="E3" s="40" t="s">
        <v>51</v>
      </c>
      <c r="F3" s="46" t="s">
        <v>51</v>
      </c>
      <c r="G3" s="25" t="s">
        <v>51</v>
      </c>
    </row>
    <row r="4" spans="1:10" x14ac:dyDescent="0.3">
      <c r="A4" s="10">
        <v>1</v>
      </c>
      <c r="B4" s="34" t="s">
        <v>53</v>
      </c>
      <c r="C4" s="50"/>
      <c r="D4" s="44"/>
      <c r="E4" s="41"/>
      <c r="F4" s="47">
        <v>73.56</v>
      </c>
      <c r="G4" s="25">
        <f>SUM(C4:F4)</f>
        <v>73.56</v>
      </c>
    </row>
    <row r="5" spans="1:10" x14ac:dyDescent="0.3">
      <c r="A5" s="10">
        <v>2</v>
      </c>
      <c r="B5" s="34" t="s">
        <v>54</v>
      </c>
      <c r="C5" s="50"/>
      <c r="D5" s="44"/>
      <c r="E5" s="41"/>
      <c r="F5" s="47">
        <v>72.239999999999995</v>
      </c>
      <c r="G5" s="25">
        <f t="shared" ref="G5:G45" si="0">SUM(C5:F5)</f>
        <v>72.239999999999995</v>
      </c>
    </row>
    <row r="6" spans="1:10" x14ac:dyDescent="0.3">
      <c r="A6" s="10">
        <v>3</v>
      </c>
      <c r="B6" s="34" t="s">
        <v>55</v>
      </c>
      <c r="C6" s="50"/>
      <c r="D6" s="44"/>
      <c r="E6" s="41"/>
      <c r="F6" s="47">
        <v>68.260000000000005</v>
      </c>
      <c r="G6" s="25">
        <f t="shared" si="0"/>
        <v>68.260000000000005</v>
      </c>
    </row>
    <row r="7" spans="1:10" x14ac:dyDescent="0.3">
      <c r="A7" s="10">
        <v>4</v>
      </c>
      <c r="B7" s="34" t="s">
        <v>56</v>
      </c>
      <c r="C7" s="50"/>
      <c r="D7" s="44"/>
      <c r="E7" s="41"/>
      <c r="F7" s="47">
        <v>158.97</v>
      </c>
      <c r="G7" s="25">
        <f t="shared" si="0"/>
        <v>158.97</v>
      </c>
    </row>
    <row r="8" spans="1:10" x14ac:dyDescent="0.3">
      <c r="A8" s="10">
        <v>5</v>
      </c>
      <c r="B8" s="34" t="s">
        <v>57</v>
      </c>
      <c r="C8" s="50">
        <v>13.62</v>
      </c>
      <c r="D8" s="44"/>
      <c r="E8" s="41"/>
      <c r="F8" s="47"/>
      <c r="G8" s="25">
        <f t="shared" si="0"/>
        <v>13.62</v>
      </c>
    </row>
    <row r="9" spans="1:10" x14ac:dyDescent="0.3">
      <c r="A9" s="10">
        <v>6</v>
      </c>
      <c r="B9" s="34" t="s">
        <v>58</v>
      </c>
      <c r="C9" s="50"/>
      <c r="D9" s="44"/>
      <c r="E9" s="41"/>
      <c r="F9" s="47">
        <v>68.3</v>
      </c>
      <c r="G9" s="25">
        <f t="shared" si="0"/>
        <v>68.3</v>
      </c>
    </row>
    <row r="10" spans="1:10" x14ac:dyDescent="0.3">
      <c r="A10" s="10">
        <v>7</v>
      </c>
      <c r="B10" s="34" t="s">
        <v>59</v>
      </c>
      <c r="C10" s="50"/>
      <c r="D10" s="44"/>
      <c r="E10" s="41"/>
      <c r="F10" s="47">
        <v>68.459999999999994</v>
      </c>
      <c r="G10" s="25">
        <f t="shared" si="0"/>
        <v>68.459999999999994</v>
      </c>
    </row>
    <row r="11" spans="1:10" x14ac:dyDescent="0.3">
      <c r="A11" s="10">
        <v>8</v>
      </c>
      <c r="B11" s="34" t="s">
        <v>60</v>
      </c>
      <c r="C11" s="50"/>
      <c r="D11" s="44"/>
      <c r="E11" s="41"/>
      <c r="F11" s="47">
        <v>68.459999999999994</v>
      </c>
      <c r="G11" s="25">
        <f t="shared" si="0"/>
        <v>68.459999999999994</v>
      </c>
    </row>
    <row r="12" spans="1:10" x14ac:dyDescent="0.3">
      <c r="A12" s="10">
        <v>9</v>
      </c>
      <c r="B12" s="34" t="s">
        <v>61</v>
      </c>
      <c r="C12" s="50"/>
      <c r="D12" s="44"/>
      <c r="E12" s="41"/>
      <c r="F12" s="47">
        <v>67.53</v>
      </c>
      <c r="G12" s="25">
        <f t="shared" si="0"/>
        <v>67.53</v>
      </c>
    </row>
    <row r="13" spans="1:10" x14ac:dyDescent="0.3">
      <c r="A13" s="10">
        <v>10</v>
      </c>
      <c r="B13" s="34" t="s">
        <v>62</v>
      </c>
      <c r="C13" s="50"/>
      <c r="D13" s="44"/>
      <c r="E13" s="41"/>
      <c r="F13" s="47">
        <v>68.459999999999994</v>
      </c>
      <c r="G13" s="25">
        <f t="shared" si="0"/>
        <v>68.459999999999994</v>
      </c>
    </row>
    <row r="14" spans="1:10" x14ac:dyDescent="0.3">
      <c r="A14" s="10">
        <v>11</v>
      </c>
      <c r="B14" s="34" t="s">
        <v>63</v>
      </c>
      <c r="C14" s="50"/>
      <c r="D14" s="44"/>
      <c r="E14" s="41"/>
      <c r="F14" s="47">
        <v>149.94999999999999</v>
      </c>
      <c r="G14" s="25">
        <f t="shared" si="0"/>
        <v>149.94999999999999</v>
      </c>
    </row>
    <row r="15" spans="1:10" x14ac:dyDescent="0.3">
      <c r="A15" s="10">
        <v>12</v>
      </c>
      <c r="B15" s="34" t="s">
        <v>64</v>
      </c>
      <c r="C15" s="50"/>
      <c r="D15" s="44"/>
      <c r="E15" s="41"/>
      <c r="F15" s="47">
        <v>68.459999999999994</v>
      </c>
      <c r="G15" s="25">
        <f t="shared" si="0"/>
        <v>68.459999999999994</v>
      </c>
    </row>
    <row r="16" spans="1:10" x14ac:dyDescent="0.3">
      <c r="A16" s="10">
        <v>13</v>
      </c>
      <c r="B16" s="34" t="s">
        <v>65</v>
      </c>
      <c r="C16" s="50"/>
      <c r="D16" s="44">
        <v>17.22</v>
      </c>
      <c r="E16" s="41"/>
      <c r="F16" s="47"/>
      <c r="G16" s="25">
        <f t="shared" si="0"/>
        <v>17.22</v>
      </c>
    </row>
    <row r="17" spans="1:7" x14ac:dyDescent="0.3">
      <c r="A17" s="10">
        <v>14</v>
      </c>
      <c r="B17" s="34" t="s">
        <v>66</v>
      </c>
      <c r="C17" s="50"/>
      <c r="D17" s="44">
        <v>21.87</v>
      </c>
      <c r="E17" s="41"/>
      <c r="F17" s="47"/>
      <c r="G17" s="25">
        <f t="shared" si="0"/>
        <v>21.87</v>
      </c>
    </row>
    <row r="18" spans="1:7" x14ac:dyDescent="0.3">
      <c r="A18" s="10">
        <v>15</v>
      </c>
      <c r="B18" s="34" t="s">
        <v>67</v>
      </c>
      <c r="C18" s="50"/>
      <c r="D18" s="44">
        <v>5.0599999999999996</v>
      </c>
      <c r="E18" s="41"/>
      <c r="F18" s="47"/>
      <c r="G18" s="25">
        <f t="shared" si="0"/>
        <v>5.0599999999999996</v>
      </c>
    </row>
    <row r="19" spans="1:7" x14ac:dyDescent="0.3">
      <c r="A19" s="10">
        <v>16</v>
      </c>
      <c r="B19" s="34" t="s">
        <v>68</v>
      </c>
      <c r="C19" s="50"/>
      <c r="D19" s="44"/>
      <c r="E19" s="41">
        <v>3.22</v>
      </c>
      <c r="F19" s="47"/>
      <c r="G19" s="25">
        <f t="shared" si="0"/>
        <v>3.22</v>
      </c>
    </row>
    <row r="20" spans="1:7" x14ac:dyDescent="0.3">
      <c r="A20" s="10">
        <v>17</v>
      </c>
      <c r="B20" s="34" t="s">
        <v>69</v>
      </c>
      <c r="C20" s="50"/>
      <c r="D20" s="44"/>
      <c r="E20" s="41">
        <v>5.25</v>
      </c>
      <c r="F20" s="47"/>
      <c r="G20" s="25">
        <f t="shared" si="0"/>
        <v>5.25</v>
      </c>
    </row>
    <row r="21" spans="1:7" x14ac:dyDescent="0.3">
      <c r="A21" s="10">
        <v>18</v>
      </c>
      <c r="B21" s="34" t="s">
        <v>70</v>
      </c>
      <c r="C21" s="50"/>
      <c r="D21" s="44"/>
      <c r="E21" s="41"/>
      <c r="F21" s="47">
        <v>79.790000000000006</v>
      </c>
      <c r="G21" s="25">
        <f t="shared" si="0"/>
        <v>79.790000000000006</v>
      </c>
    </row>
    <row r="22" spans="1:7" x14ac:dyDescent="0.3">
      <c r="A22" s="10">
        <v>19</v>
      </c>
      <c r="B22" s="34" t="s">
        <v>71</v>
      </c>
      <c r="C22" s="50"/>
      <c r="D22" s="44"/>
      <c r="E22" s="41"/>
      <c r="F22" s="47">
        <v>170.56</v>
      </c>
      <c r="G22" s="25">
        <f t="shared" si="0"/>
        <v>170.56</v>
      </c>
    </row>
    <row r="23" spans="1:7" x14ac:dyDescent="0.3">
      <c r="A23" s="10">
        <v>20</v>
      </c>
      <c r="B23" s="10">
        <v>2.0840000000000001</v>
      </c>
      <c r="C23" s="50">
        <v>16</v>
      </c>
      <c r="D23" s="44"/>
      <c r="E23" s="41"/>
      <c r="F23" s="47"/>
      <c r="G23" s="25">
        <f t="shared" si="0"/>
        <v>16</v>
      </c>
    </row>
    <row r="24" spans="1:7" x14ac:dyDescent="0.3">
      <c r="A24" s="10">
        <v>21</v>
      </c>
      <c r="B24" s="10">
        <v>2.0870000000000002</v>
      </c>
      <c r="C24" s="50">
        <v>19.46</v>
      </c>
      <c r="D24" s="44"/>
      <c r="E24" s="41"/>
      <c r="F24" s="47"/>
      <c r="G24" s="25">
        <f t="shared" si="0"/>
        <v>19.46</v>
      </c>
    </row>
    <row r="25" spans="1:7" x14ac:dyDescent="0.3">
      <c r="A25" s="10">
        <v>22</v>
      </c>
      <c r="B25" s="34" t="s">
        <v>72</v>
      </c>
      <c r="C25" s="50"/>
      <c r="D25" s="44"/>
      <c r="E25" s="41"/>
      <c r="F25" s="47">
        <v>10.24</v>
      </c>
      <c r="G25" s="25">
        <f t="shared" si="0"/>
        <v>10.24</v>
      </c>
    </row>
    <row r="26" spans="1:7" x14ac:dyDescent="0.3">
      <c r="A26" s="10">
        <v>23</v>
      </c>
      <c r="B26" s="34" t="s">
        <v>73</v>
      </c>
      <c r="C26" s="50"/>
      <c r="D26" s="44">
        <v>6.05</v>
      </c>
      <c r="E26" s="41"/>
      <c r="F26" s="47"/>
      <c r="G26" s="25">
        <f t="shared" si="0"/>
        <v>6.05</v>
      </c>
    </row>
    <row r="27" spans="1:7" x14ac:dyDescent="0.3">
      <c r="A27" s="10">
        <v>24</v>
      </c>
      <c r="B27" s="34" t="s">
        <v>74</v>
      </c>
      <c r="C27" s="50"/>
      <c r="D27" s="44">
        <v>12.15</v>
      </c>
      <c r="E27" s="41"/>
      <c r="F27" s="47"/>
      <c r="G27" s="25">
        <f t="shared" si="0"/>
        <v>12.15</v>
      </c>
    </row>
    <row r="28" spans="1:7" x14ac:dyDescent="0.3">
      <c r="A28" s="10">
        <v>25</v>
      </c>
      <c r="B28" s="34" t="s">
        <v>75</v>
      </c>
      <c r="C28" s="50"/>
      <c r="D28" s="44">
        <v>10.63</v>
      </c>
      <c r="E28" s="41"/>
      <c r="F28" s="47"/>
      <c r="G28" s="25">
        <f t="shared" si="0"/>
        <v>10.63</v>
      </c>
    </row>
    <row r="29" spans="1:7" x14ac:dyDescent="0.3">
      <c r="A29" s="10">
        <v>26</v>
      </c>
      <c r="B29" s="34" t="s">
        <v>76</v>
      </c>
      <c r="C29" s="50"/>
      <c r="D29" s="44"/>
      <c r="E29" s="41"/>
      <c r="F29" s="47">
        <v>23.36</v>
      </c>
      <c r="G29" s="25">
        <f t="shared" si="0"/>
        <v>23.36</v>
      </c>
    </row>
    <row r="30" spans="1:7" x14ac:dyDescent="0.3">
      <c r="A30" s="10">
        <v>27</v>
      </c>
      <c r="B30" s="34" t="s">
        <v>77</v>
      </c>
      <c r="C30" s="50"/>
      <c r="D30" s="44">
        <v>8.7899999999999991</v>
      </c>
      <c r="E30" s="41"/>
      <c r="F30" s="47"/>
      <c r="G30" s="25">
        <f t="shared" si="0"/>
        <v>8.7899999999999991</v>
      </c>
    </row>
    <row r="31" spans="1:7" x14ac:dyDescent="0.3">
      <c r="A31" s="10">
        <v>28</v>
      </c>
      <c r="B31" s="34" t="s">
        <v>78</v>
      </c>
      <c r="C31" s="50"/>
      <c r="D31" s="44">
        <v>14.39</v>
      </c>
      <c r="E31" s="41"/>
      <c r="F31" s="47"/>
      <c r="G31" s="25">
        <f t="shared" si="0"/>
        <v>14.39</v>
      </c>
    </row>
    <row r="32" spans="1:7" x14ac:dyDescent="0.3">
      <c r="A32" s="10">
        <v>29</v>
      </c>
      <c r="B32" s="34" t="s">
        <v>79</v>
      </c>
      <c r="C32" s="50"/>
      <c r="D32" s="44"/>
      <c r="E32" s="41">
        <v>4.8499999999999996</v>
      </c>
      <c r="F32" s="47"/>
      <c r="G32" s="25">
        <f t="shared" si="0"/>
        <v>4.8499999999999996</v>
      </c>
    </row>
    <row r="33" spans="1:9" x14ac:dyDescent="0.3">
      <c r="A33" s="10">
        <v>30</v>
      </c>
      <c r="B33" s="34" t="s">
        <v>80</v>
      </c>
      <c r="C33" s="50"/>
      <c r="D33" s="44"/>
      <c r="E33" s="41">
        <v>4.76</v>
      </c>
      <c r="F33" s="47"/>
      <c r="G33" s="25">
        <f t="shared" si="0"/>
        <v>4.76</v>
      </c>
    </row>
    <row r="34" spans="1:9" x14ac:dyDescent="0.3">
      <c r="A34" s="10">
        <v>31</v>
      </c>
      <c r="B34" s="34" t="s">
        <v>81</v>
      </c>
      <c r="C34" s="50"/>
      <c r="D34" s="44"/>
      <c r="E34" s="41"/>
      <c r="F34" s="47">
        <v>21.09</v>
      </c>
      <c r="G34" s="25">
        <f t="shared" si="0"/>
        <v>21.09</v>
      </c>
    </row>
    <row r="35" spans="1:9" x14ac:dyDescent="0.3">
      <c r="A35" s="10">
        <v>32</v>
      </c>
      <c r="B35" s="34" t="s">
        <v>82</v>
      </c>
      <c r="C35" s="50"/>
      <c r="D35" s="44">
        <v>8.19</v>
      </c>
      <c r="E35" s="41"/>
      <c r="F35" s="47"/>
      <c r="G35" s="25">
        <f t="shared" si="0"/>
        <v>8.19</v>
      </c>
    </row>
    <row r="36" spans="1:9" x14ac:dyDescent="0.3">
      <c r="A36" s="10">
        <v>33</v>
      </c>
      <c r="B36" s="34" t="s">
        <v>83</v>
      </c>
      <c r="C36" s="50"/>
      <c r="D36" s="44">
        <v>12.22</v>
      </c>
      <c r="E36" s="41"/>
      <c r="F36" s="47"/>
      <c r="G36" s="25">
        <f t="shared" si="0"/>
        <v>12.22</v>
      </c>
    </row>
    <row r="37" spans="1:9" x14ac:dyDescent="0.3">
      <c r="A37" s="10">
        <v>34</v>
      </c>
      <c r="B37" s="34" t="s">
        <v>84</v>
      </c>
      <c r="C37" s="50"/>
      <c r="D37" s="44"/>
      <c r="E37" s="41">
        <v>9.24</v>
      </c>
      <c r="F37" s="47"/>
      <c r="G37" s="25">
        <f t="shared" si="0"/>
        <v>9.24</v>
      </c>
    </row>
    <row r="38" spans="1:9" x14ac:dyDescent="0.3">
      <c r="A38" s="10">
        <v>35</v>
      </c>
      <c r="B38" s="34" t="s">
        <v>85</v>
      </c>
      <c r="C38" s="50"/>
      <c r="D38" s="44"/>
      <c r="E38" s="41"/>
      <c r="F38" s="47">
        <v>19.329999999999998</v>
      </c>
      <c r="G38" s="25">
        <f t="shared" si="0"/>
        <v>19.329999999999998</v>
      </c>
    </row>
    <row r="39" spans="1:9" x14ac:dyDescent="0.3">
      <c r="A39" s="10">
        <v>36</v>
      </c>
      <c r="B39" s="34" t="s">
        <v>86</v>
      </c>
      <c r="C39" s="50"/>
      <c r="D39" s="44">
        <v>8.4499999999999993</v>
      </c>
      <c r="E39" s="41"/>
      <c r="F39" s="47"/>
      <c r="G39" s="25">
        <f t="shared" si="0"/>
        <v>8.4499999999999993</v>
      </c>
    </row>
    <row r="40" spans="1:9" x14ac:dyDescent="0.3">
      <c r="A40" s="10">
        <v>37</v>
      </c>
      <c r="B40" s="34" t="s">
        <v>87</v>
      </c>
      <c r="C40" s="50"/>
      <c r="D40" s="44">
        <v>14.25</v>
      </c>
      <c r="E40" s="41"/>
      <c r="F40" s="47"/>
      <c r="G40" s="25">
        <f t="shared" si="0"/>
        <v>14.25</v>
      </c>
    </row>
    <row r="41" spans="1:9" x14ac:dyDescent="0.3">
      <c r="A41" s="10">
        <v>38</v>
      </c>
      <c r="B41" s="34" t="s">
        <v>88</v>
      </c>
      <c r="C41" s="50"/>
      <c r="D41" s="44"/>
      <c r="E41" s="41"/>
      <c r="F41" s="47">
        <v>19.36</v>
      </c>
      <c r="G41" s="25">
        <f t="shared" si="0"/>
        <v>19.36</v>
      </c>
    </row>
    <row r="42" spans="1:9" x14ac:dyDescent="0.3">
      <c r="A42" s="10">
        <v>39</v>
      </c>
      <c r="B42" s="34" t="s">
        <v>89</v>
      </c>
      <c r="C42" s="50"/>
      <c r="D42" s="44">
        <v>8.14</v>
      </c>
      <c r="E42" s="41"/>
      <c r="F42" s="47"/>
      <c r="G42" s="25">
        <f>SUM(C42:F42)</f>
        <v>8.14</v>
      </c>
    </row>
    <row r="43" spans="1:9" x14ac:dyDescent="0.3">
      <c r="A43" s="10">
        <v>40</v>
      </c>
      <c r="B43" s="34" t="s">
        <v>90</v>
      </c>
      <c r="C43" s="50"/>
      <c r="D43" s="44">
        <v>16.28</v>
      </c>
      <c r="E43" s="41"/>
      <c r="F43" s="47"/>
      <c r="G43" s="25">
        <f t="shared" si="0"/>
        <v>16.28</v>
      </c>
    </row>
    <row r="44" spans="1:9" x14ac:dyDescent="0.3">
      <c r="A44" s="10">
        <v>41</v>
      </c>
      <c r="B44" s="34" t="s">
        <v>91</v>
      </c>
      <c r="C44" s="50">
        <v>33.049999999999997</v>
      </c>
      <c r="D44" s="44"/>
      <c r="E44" s="41"/>
      <c r="F44" s="47"/>
      <c r="G44" s="25">
        <f t="shared" si="0"/>
        <v>33.049999999999997</v>
      </c>
    </row>
    <row r="45" spans="1:9" x14ac:dyDescent="0.3">
      <c r="A45" s="10">
        <v>42</v>
      </c>
      <c r="B45" s="34" t="s">
        <v>92</v>
      </c>
      <c r="C45" s="50">
        <v>8.02</v>
      </c>
      <c r="D45" s="44"/>
      <c r="E45" s="41"/>
      <c r="F45" s="47"/>
      <c r="G45" s="25">
        <f t="shared" si="0"/>
        <v>8.02</v>
      </c>
    </row>
    <row r="46" spans="1:9" x14ac:dyDescent="0.3">
      <c r="A46" s="10"/>
      <c r="B46" s="10" t="s">
        <v>52</v>
      </c>
      <c r="C46" s="50">
        <f>SUM(C4:C45)</f>
        <v>90.149999999999991</v>
      </c>
      <c r="D46" s="44">
        <f t="shared" ref="D46:F46" si="1">SUM(D4:D45)</f>
        <v>163.69000000000003</v>
      </c>
      <c r="E46" s="41">
        <f t="shared" si="1"/>
        <v>27.32</v>
      </c>
      <c r="F46" s="47">
        <f t="shared" si="1"/>
        <v>1276.3799999999997</v>
      </c>
      <c r="G46" s="25">
        <f>SUM(G4:G45)</f>
        <v>1557.54</v>
      </c>
    </row>
    <row r="47" spans="1:9" hidden="1" x14ac:dyDescent="0.3">
      <c r="B47" s="13">
        <v>2.16</v>
      </c>
      <c r="H47">
        <v>0</v>
      </c>
    </row>
    <row r="48" spans="1:9" hidden="1" x14ac:dyDescent="0.3">
      <c r="B48" s="11">
        <v>2.081</v>
      </c>
      <c r="I48">
        <v>0</v>
      </c>
    </row>
    <row r="49" spans="2:10" hidden="1" x14ac:dyDescent="0.3">
      <c r="B49" s="11">
        <v>2.085</v>
      </c>
      <c r="J49"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>
      <selection activeCell="F8" sqref="F8"/>
    </sheetView>
  </sheetViews>
  <sheetFormatPr defaultRowHeight="14.4" x14ac:dyDescent="0.3"/>
  <cols>
    <col min="1" max="1" width="7.5546875" style="11" customWidth="1"/>
    <col min="2" max="2" width="50.33203125" style="12" customWidth="1"/>
    <col min="3" max="3" width="13.5546875" style="12" customWidth="1"/>
    <col min="4" max="4" width="9.109375" style="11" customWidth="1"/>
    <col min="5" max="5" width="14.5546875" style="13" customWidth="1"/>
    <col min="6" max="6" width="8.88671875" style="14" customWidth="1"/>
    <col min="7" max="9" width="0" hidden="1" customWidth="1"/>
  </cols>
  <sheetData>
    <row r="1" spans="1:9" x14ac:dyDescent="0.3">
      <c r="A1" s="1"/>
      <c r="B1" s="2" t="s">
        <v>9</v>
      </c>
      <c r="C1" s="15"/>
      <c r="D1" s="3"/>
      <c r="E1" s="4"/>
      <c r="F1" s="5"/>
      <c r="G1" s="16"/>
    </row>
    <row r="2" spans="1:9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9" ht="27" x14ac:dyDescent="0.3">
      <c r="A3" s="29">
        <v>1</v>
      </c>
      <c r="B3" s="28" t="s">
        <v>25</v>
      </c>
      <c r="C3" s="28" t="s">
        <v>95</v>
      </c>
      <c r="D3" s="29" t="s">
        <v>7</v>
      </c>
      <c r="E3" s="21">
        <v>1</v>
      </c>
      <c r="F3" s="22">
        <f>'Спец 3 эт'!E24</f>
        <v>25.92</v>
      </c>
      <c r="G3" s="23">
        <v>122.25</v>
      </c>
      <c r="I3" s="32">
        <f t="shared" ref="I3:I12" si="0">F3-G3</f>
        <v>-96.33</v>
      </c>
    </row>
    <row r="4" spans="1:9" x14ac:dyDescent="0.3">
      <c r="A4" s="10">
        <v>1.1000000000000001</v>
      </c>
      <c r="B4" s="9" t="s">
        <v>22</v>
      </c>
      <c r="C4" s="9"/>
      <c r="D4" s="10" t="s">
        <v>41</v>
      </c>
      <c r="E4" s="8">
        <v>8</v>
      </c>
      <c r="F4" s="25">
        <f>ROUND(E4*F3, 0)</f>
        <v>207</v>
      </c>
      <c r="G4" s="16">
        <v>978</v>
      </c>
      <c r="I4" s="32">
        <f t="shared" si="0"/>
        <v>-771</v>
      </c>
    </row>
    <row r="5" spans="1:9" x14ac:dyDescent="0.3">
      <c r="A5" s="10">
        <v>1.2</v>
      </c>
      <c r="B5" s="30" t="s">
        <v>23</v>
      </c>
      <c r="C5" s="30"/>
      <c r="D5" s="10" t="s">
        <v>6</v>
      </c>
      <c r="E5" s="8">
        <v>1.8</v>
      </c>
      <c r="F5" s="25">
        <f>E5*F3*60</f>
        <v>2799.3600000000006</v>
      </c>
      <c r="G5" s="16">
        <v>13203</v>
      </c>
      <c r="H5">
        <f>G5/G3/E5</f>
        <v>60</v>
      </c>
      <c r="I5" s="32">
        <f t="shared" si="0"/>
        <v>-10403.64</v>
      </c>
    </row>
    <row r="6" spans="1:9" x14ac:dyDescent="0.3">
      <c r="A6" s="10">
        <v>1.3</v>
      </c>
      <c r="B6" s="9" t="s">
        <v>24</v>
      </c>
      <c r="C6" s="9"/>
      <c r="D6" s="10" t="s">
        <v>7</v>
      </c>
      <c r="E6" s="8">
        <v>1.1000000000000001</v>
      </c>
      <c r="F6" s="25">
        <f>E6*F3</f>
        <v>28.512000000000004</v>
      </c>
      <c r="G6" s="16">
        <v>134.47499999999999</v>
      </c>
      <c r="I6" s="32">
        <f t="shared" si="0"/>
        <v>-105.96299999999999</v>
      </c>
    </row>
    <row r="7" spans="1:9" x14ac:dyDescent="0.3">
      <c r="A7" s="10">
        <v>1.4</v>
      </c>
      <c r="B7" s="9" t="s">
        <v>12</v>
      </c>
      <c r="C7" s="9"/>
      <c r="D7" s="10" t="s">
        <v>5</v>
      </c>
      <c r="E7" s="8">
        <v>1</v>
      </c>
      <c r="F7" s="25">
        <f>E7*F3</f>
        <v>25.92</v>
      </c>
      <c r="G7" s="16">
        <v>122.25</v>
      </c>
      <c r="I7" s="32">
        <f t="shared" si="0"/>
        <v>-96.33</v>
      </c>
    </row>
    <row r="8" spans="1:9" ht="27" x14ac:dyDescent="0.3">
      <c r="A8" s="29">
        <v>2</v>
      </c>
      <c r="B8" s="28" t="s">
        <v>26</v>
      </c>
      <c r="C8" s="55" t="s">
        <v>96</v>
      </c>
      <c r="D8" s="29" t="s">
        <v>7</v>
      </c>
      <c r="E8" s="21">
        <v>1</v>
      </c>
      <c r="F8" s="22">
        <f>'Спец 3 эт'!C24+'Спец 3 эт'!D24+'Спец 3 эт'!F24</f>
        <v>1231.23</v>
      </c>
      <c r="G8" s="23">
        <v>5553.92</v>
      </c>
      <c r="I8" s="32">
        <f t="shared" si="0"/>
        <v>-4322.6900000000005</v>
      </c>
    </row>
    <row r="9" spans="1:9" x14ac:dyDescent="0.3">
      <c r="A9" s="10">
        <v>2.1</v>
      </c>
      <c r="B9" s="9" t="s">
        <v>22</v>
      </c>
      <c r="C9" s="9"/>
      <c r="D9" s="10" t="s">
        <v>41</v>
      </c>
      <c r="E9" s="8">
        <v>8</v>
      </c>
      <c r="F9" s="25">
        <f>ROUND(E9*F8, 0)</f>
        <v>9850</v>
      </c>
      <c r="G9" s="16">
        <v>44431.360000000001</v>
      </c>
      <c r="I9" s="32">
        <f t="shared" si="0"/>
        <v>-34581.360000000001</v>
      </c>
    </row>
    <row r="10" spans="1:9" x14ac:dyDescent="0.3">
      <c r="A10" s="10">
        <v>2.2000000000000002</v>
      </c>
      <c r="B10" s="30" t="s">
        <v>23</v>
      </c>
      <c r="C10" s="30"/>
      <c r="D10" s="10" t="s">
        <v>6</v>
      </c>
      <c r="E10" s="8">
        <v>1.8</v>
      </c>
      <c r="F10" s="25">
        <f>E10*F8*65</f>
        <v>144053.91</v>
      </c>
      <c r="G10" s="16">
        <v>649808.64000000001</v>
      </c>
      <c r="H10">
        <f>G10/G8/E10</f>
        <v>65</v>
      </c>
      <c r="I10" s="32">
        <f t="shared" si="0"/>
        <v>-505754.73</v>
      </c>
    </row>
    <row r="11" spans="1:9" x14ac:dyDescent="0.3">
      <c r="A11" s="10">
        <v>2.2999999999999998</v>
      </c>
      <c r="B11" s="30" t="s">
        <v>24</v>
      </c>
      <c r="C11" s="30"/>
      <c r="D11" s="10" t="s">
        <v>7</v>
      </c>
      <c r="E11" s="8">
        <v>1.1000000000000001</v>
      </c>
      <c r="F11" s="25">
        <f>E11*F8</f>
        <v>1354.3530000000001</v>
      </c>
      <c r="G11" s="16">
        <v>6109.3119999999999</v>
      </c>
      <c r="I11" s="32">
        <f t="shared" si="0"/>
        <v>-4754.9589999999998</v>
      </c>
    </row>
    <row r="12" spans="1:9" x14ac:dyDescent="0.3">
      <c r="A12" s="10">
        <v>2.4</v>
      </c>
      <c r="B12" s="30" t="s">
        <v>12</v>
      </c>
      <c r="C12" s="30"/>
      <c r="D12" s="10" t="s">
        <v>5</v>
      </c>
      <c r="E12" s="8">
        <v>1</v>
      </c>
      <c r="F12" s="25">
        <f>E12*F8</f>
        <v>1231.23</v>
      </c>
      <c r="G12" s="16">
        <v>5553.92</v>
      </c>
      <c r="I12" s="32">
        <f t="shared" si="0"/>
        <v>-4322.6900000000005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9"/>
  <sheetViews>
    <sheetView tabSelected="1" zoomScale="85" zoomScaleNormal="85" workbookViewId="0">
      <selection activeCell="H16" sqref="G16:H16"/>
    </sheetView>
  </sheetViews>
  <sheetFormatPr defaultRowHeight="18" x14ac:dyDescent="0.35"/>
  <cols>
    <col min="1" max="1" width="15.5546875" style="156" bestFit="1" customWidth="1"/>
    <col min="2" max="2" width="10.77734375" style="156" customWidth="1"/>
    <col min="3" max="3" width="7.5546875" style="156" customWidth="1"/>
    <col min="4" max="4" width="11.77734375" style="156" bestFit="1" customWidth="1"/>
    <col min="5" max="5" width="15.5546875" style="156" bestFit="1" customWidth="1"/>
    <col min="6" max="6" width="10.77734375" style="156" bestFit="1" customWidth="1"/>
    <col min="7" max="16384" width="8.88671875" style="156"/>
  </cols>
  <sheetData>
    <row r="1" spans="1:6" x14ac:dyDescent="0.35">
      <c r="A1" s="219" t="s">
        <v>433</v>
      </c>
      <c r="B1" s="219"/>
      <c r="C1" s="219"/>
      <c r="D1" s="219"/>
      <c r="E1" s="219"/>
      <c r="F1" s="219"/>
    </row>
    <row r="2" spans="1:6" ht="18" customHeight="1" x14ac:dyDescent="0.35">
      <c r="A2" s="224" t="s">
        <v>302</v>
      </c>
      <c r="B2" s="225"/>
      <c r="C2" s="226"/>
      <c r="D2" s="167" t="s">
        <v>340</v>
      </c>
      <c r="E2" s="213" t="s">
        <v>2</v>
      </c>
      <c r="F2" s="158" t="s">
        <v>4</v>
      </c>
    </row>
    <row r="3" spans="1:6" ht="34.799999999999997" customHeight="1" x14ac:dyDescent="0.35">
      <c r="A3" s="227" t="s">
        <v>220</v>
      </c>
      <c r="B3" s="228"/>
      <c r="C3" s="229"/>
      <c r="D3" s="167" t="s">
        <v>342</v>
      </c>
      <c r="E3" s="213" t="s">
        <v>7</v>
      </c>
      <c r="F3" s="159">
        <f>B9+F7</f>
        <v>2388.7673</v>
      </c>
    </row>
    <row r="4" spans="1:6" ht="36" x14ac:dyDescent="0.35">
      <c r="A4" s="160" t="s">
        <v>317</v>
      </c>
      <c r="B4" s="160" t="s">
        <v>318</v>
      </c>
      <c r="C4" s="262"/>
      <c r="D4" s="271"/>
      <c r="E4" s="160" t="s">
        <v>317</v>
      </c>
      <c r="F4" s="160" t="s">
        <v>318</v>
      </c>
    </row>
    <row r="5" spans="1:6" x14ac:dyDescent="0.35">
      <c r="A5" s="161" t="s">
        <v>343</v>
      </c>
      <c r="B5" s="162">
        <f>379.31+(84.163-4)*0.1</f>
        <v>387.3263</v>
      </c>
      <c r="C5" s="264"/>
      <c r="D5" s="272"/>
      <c r="E5" s="161" t="s">
        <v>447</v>
      </c>
      <c r="F5" s="162">
        <v>295.52</v>
      </c>
    </row>
    <row r="6" spans="1:6" x14ac:dyDescent="0.35">
      <c r="A6" s="161" t="s">
        <v>344</v>
      </c>
      <c r="B6" s="162">
        <f>381.65+(83.53-2.2-1.8)*0.1</f>
        <v>389.60299999999995</v>
      </c>
      <c r="C6" s="264"/>
      <c r="D6" s="272"/>
      <c r="E6" s="161" t="s">
        <v>448</v>
      </c>
      <c r="F6" s="162">
        <v>169.27</v>
      </c>
    </row>
    <row r="7" spans="1:6" x14ac:dyDescent="0.35">
      <c r="A7" s="161" t="s">
        <v>345</v>
      </c>
      <c r="B7" s="162">
        <f>563.46+(102.28-1.5-2.2)*0.1</f>
        <v>573.31799999999998</v>
      </c>
      <c r="C7" s="264"/>
      <c r="D7" s="272"/>
      <c r="E7" s="163" t="s">
        <v>336</v>
      </c>
      <c r="F7" s="162">
        <f>SUM(F5:F6)</f>
        <v>464.78999999999996</v>
      </c>
    </row>
    <row r="8" spans="1:6" x14ac:dyDescent="0.35">
      <c r="A8" s="161" t="s">
        <v>346</v>
      </c>
      <c r="B8" s="162">
        <f>563.73+10</f>
        <v>573.73</v>
      </c>
      <c r="C8" s="264"/>
      <c r="D8" s="265"/>
      <c r="E8" s="217"/>
      <c r="F8" s="217"/>
    </row>
    <row r="9" spans="1:6" x14ac:dyDescent="0.35">
      <c r="A9" s="163" t="s">
        <v>336</v>
      </c>
      <c r="B9" s="162">
        <f>SUM(B5:B8)</f>
        <v>1923.9773</v>
      </c>
      <c r="C9" s="264"/>
      <c r="D9" s="265"/>
      <c r="E9" s="234"/>
      <c r="F9" s="234"/>
    </row>
  </sheetData>
  <mergeCells count="5">
    <mergeCell ref="A1:F1"/>
    <mergeCell ref="A2:C2"/>
    <mergeCell ref="A3:C3"/>
    <mergeCell ref="C4:D9"/>
    <mergeCell ref="E8:F9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85" zoomScaleNormal="85" workbookViewId="0">
      <selection activeCell="G31" sqref="G31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7" style="156" customWidth="1"/>
    <col min="4" max="4" width="12.5546875" style="156" customWidth="1"/>
    <col min="5" max="5" width="12.88671875" style="156" customWidth="1"/>
    <col min="6" max="6" width="7.44140625" style="156" customWidth="1"/>
    <col min="7" max="7" width="12.5546875" style="156" customWidth="1"/>
    <col min="8" max="8" width="12.88671875" style="156" customWidth="1"/>
    <col min="9" max="16384" width="8.88671875" style="156"/>
  </cols>
  <sheetData>
    <row r="1" spans="1:8" x14ac:dyDescent="0.35">
      <c r="A1" s="219" t="s">
        <v>433</v>
      </c>
      <c r="B1" s="219"/>
      <c r="C1" s="219"/>
      <c r="D1" s="219"/>
      <c r="E1" s="219"/>
      <c r="F1" s="219"/>
      <c r="G1" s="219"/>
      <c r="H1" s="219"/>
    </row>
    <row r="2" spans="1:8" ht="18" customHeight="1" x14ac:dyDescent="0.35">
      <c r="A2" s="221" t="s">
        <v>302</v>
      </c>
      <c r="B2" s="222"/>
      <c r="C2" s="222"/>
      <c r="D2" s="222"/>
      <c r="E2" s="222"/>
      <c r="F2" s="223"/>
      <c r="G2" s="213" t="s">
        <v>2</v>
      </c>
      <c r="H2" s="158" t="s">
        <v>4</v>
      </c>
    </row>
    <row r="3" spans="1:8" ht="37.200000000000003" customHeight="1" x14ac:dyDescent="0.35">
      <c r="A3" s="221" t="s">
        <v>454</v>
      </c>
      <c r="B3" s="222"/>
      <c r="C3" s="222"/>
      <c r="D3" s="222"/>
      <c r="E3" s="222"/>
      <c r="F3" s="223"/>
      <c r="G3" s="213" t="s">
        <v>7</v>
      </c>
      <c r="H3" s="159">
        <f>B23+E27+H23</f>
        <v>4336.8999999999996</v>
      </c>
    </row>
    <row r="4" spans="1:8" x14ac:dyDescent="0.35">
      <c r="A4" s="220"/>
      <c r="B4" s="220"/>
      <c r="C4" s="220"/>
      <c r="D4" s="220"/>
      <c r="E4" s="220"/>
      <c r="F4" s="220"/>
      <c r="G4" s="220"/>
      <c r="H4" s="220"/>
    </row>
    <row r="5" spans="1:8" x14ac:dyDescent="0.35">
      <c r="A5" s="218" t="s">
        <v>337</v>
      </c>
      <c r="B5" s="218"/>
      <c r="C5" s="216"/>
      <c r="D5" s="218" t="s">
        <v>338</v>
      </c>
      <c r="E5" s="218"/>
      <c r="F5" s="216"/>
      <c r="G5" s="218" t="s">
        <v>339</v>
      </c>
      <c r="H5" s="218"/>
    </row>
    <row r="6" spans="1:8" ht="36" x14ac:dyDescent="0.35">
      <c r="A6" s="160" t="s">
        <v>98</v>
      </c>
      <c r="B6" s="160" t="s">
        <v>318</v>
      </c>
      <c r="C6" s="216"/>
      <c r="D6" s="160" t="s">
        <v>98</v>
      </c>
      <c r="E6" s="160" t="s">
        <v>318</v>
      </c>
      <c r="F6" s="216"/>
      <c r="G6" s="160" t="s">
        <v>317</v>
      </c>
      <c r="H6" s="160" t="s">
        <v>318</v>
      </c>
    </row>
    <row r="7" spans="1:8" x14ac:dyDescent="0.35">
      <c r="A7" s="161" t="s">
        <v>319</v>
      </c>
      <c r="B7" s="162">
        <v>113.98</v>
      </c>
      <c r="C7" s="216"/>
      <c r="D7" s="161" t="s">
        <v>53</v>
      </c>
      <c r="E7" s="162">
        <v>73.599999999999994</v>
      </c>
      <c r="F7" s="216"/>
      <c r="G7" s="161" t="s">
        <v>325</v>
      </c>
      <c r="H7" s="162">
        <v>72.14</v>
      </c>
    </row>
    <row r="8" spans="1:8" x14ac:dyDescent="0.35">
      <c r="A8" s="161" t="s">
        <v>320</v>
      </c>
      <c r="B8" s="162">
        <v>68.63</v>
      </c>
      <c r="C8" s="216"/>
      <c r="D8" s="161" t="s">
        <v>54</v>
      </c>
      <c r="E8" s="162">
        <v>72.22</v>
      </c>
      <c r="F8" s="216"/>
      <c r="G8" s="161" t="s">
        <v>326</v>
      </c>
      <c r="H8" s="162">
        <v>70.83</v>
      </c>
    </row>
    <row r="9" spans="1:8" x14ac:dyDescent="0.35">
      <c r="A9" s="161" t="s">
        <v>321</v>
      </c>
      <c r="B9" s="162">
        <v>69.02</v>
      </c>
      <c r="C9" s="216"/>
      <c r="D9" s="161" t="s">
        <v>55</v>
      </c>
      <c r="E9" s="162">
        <v>68.37</v>
      </c>
      <c r="F9" s="216"/>
      <c r="G9" s="161" t="s">
        <v>327</v>
      </c>
      <c r="H9" s="162">
        <v>67.760000000000005</v>
      </c>
    </row>
    <row r="10" spans="1:8" x14ac:dyDescent="0.35">
      <c r="A10" s="161" t="s">
        <v>322</v>
      </c>
      <c r="B10" s="162">
        <v>68.94</v>
      </c>
      <c r="C10" s="216"/>
      <c r="D10" s="161" t="s">
        <v>58</v>
      </c>
      <c r="E10" s="162">
        <v>68.25</v>
      </c>
      <c r="F10" s="216"/>
      <c r="G10" s="161" t="s">
        <v>328</v>
      </c>
      <c r="H10" s="162">
        <v>67.77</v>
      </c>
    </row>
    <row r="11" spans="1:8" x14ac:dyDescent="0.35">
      <c r="A11" s="161" t="s">
        <v>323</v>
      </c>
      <c r="B11" s="162">
        <v>68.849999999999994</v>
      </c>
      <c r="C11" s="216"/>
      <c r="D11" s="161" t="s">
        <v>59</v>
      </c>
      <c r="E11" s="162">
        <v>67.709999999999994</v>
      </c>
      <c r="F11" s="216"/>
      <c r="G11" s="161" t="s">
        <v>329</v>
      </c>
      <c r="H11" s="162">
        <v>68.069999999999993</v>
      </c>
    </row>
    <row r="12" spans="1:8" x14ac:dyDescent="0.35">
      <c r="A12" s="161" t="s">
        <v>324</v>
      </c>
      <c r="B12" s="162">
        <v>67.86</v>
      </c>
      <c r="C12" s="216"/>
      <c r="D12" s="161" t="s">
        <v>60</v>
      </c>
      <c r="E12" s="162">
        <v>68.44</v>
      </c>
      <c r="F12" s="216"/>
      <c r="G12" s="161" t="s">
        <v>330</v>
      </c>
      <c r="H12" s="162">
        <v>67.959999999999994</v>
      </c>
    </row>
    <row r="13" spans="1:8" x14ac:dyDescent="0.35">
      <c r="A13" s="161" t="s">
        <v>334</v>
      </c>
      <c r="B13" s="162">
        <v>139.03</v>
      </c>
      <c r="C13" s="216"/>
      <c r="D13" s="161" t="s">
        <v>61</v>
      </c>
      <c r="E13" s="162">
        <v>67.41</v>
      </c>
      <c r="F13" s="216"/>
      <c r="G13" s="161" t="s">
        <v>331</v>
      </c>
      <c r="H13" s="162">
        <v>67.09</v>
      </c>
    </row>
    <row r="14" spans="1:8" x14ac:dyDescent="0.35">
      <c r="A14" s="161" t="s">
        <v>444</v>
      </c>
      <c r="B14" s="162">
        <v>191.9</v>
      </c>
      <c r="C14" s="216"/>
      <c r="D14" s="161" t="s">
        <v>62</v>
      </c>
      <c r="E14" s="162">
        <v>68.59</v>
      </c>
      <c r="F14" s="216"/>
      <c r="G14" s="161" t="s">
        <v>332</v>
      </c>
      <c r="H14" s="162">
        <v>67.099999999999994</v>
      </c>
    </row>
    <row r="15" spans="1:8" x14ac:dyDescent="0.35">
      <c r="A15" s="161" t="s">
        <v>445</v>
      </c>
      <c r="B15" s="162">
        <v>146.69999999999999</v>
      </c>
      <c r="C15" s="216"/>
      <c r="D15" s="161" t="s">
        <v>64</v>
      </c>
      <c r="E15" s="162">
        <v>68.31</v>
      </c>
      <c r="F15" s="216"/>
      <c r="G15" s="161" t="s">
        <v>333</v>
      </c>
      <c r="H15" s="162">
        <v>67.81</v>
      </c>
    </row>
    <row r="16" spans="1:8" x14ac:dyDescent="0.35">
      <c r="A16" s="161"/>
      <c r="B16" s="162"/>
      <c r="C16" s="216"/>
      <c r="D16" s="161" t="s">
        <v>56</v>
      </c>
      <c r="E16" s="162">
        <v>159.69999999999999</v>
      </c>
      <c r="F16" s="216"/>
      <c r="G16" s="161" t="s">
        <v>449</v>
      </c>
      <c r="H16" s="162">
        <v>130.69999999999999</v>
      </c>
    </row>
    <row r="17" spans="1:8" x14ac:dyDescent="0.35">
      <c r="A17" s="161" t="s">
        <v>456</v>
      </c>
      <c r="B17" s="162">
        <v>220.07</v>
      </c>
      <c r="C17" s="216"/>
      <c r="D17" s="161" t="s">
        <v>63</v>
      </c>
      <c r="E17" s="212">
        <v>145.80000000000001</v>
      </c>
      <c r="F17" s="216"/>
      <c r="G17" s="161" t="s">
        <v>450</v>
      </c>
      <c r="H17" s="161">
        <v>242.6</v>
      </c>
    </row>
    <row r="18" spans="1:8" x14ac:dyDescent="0.35">
      <c r="A18" s="161" t="s">
        <v>457</v>
      </c>
      <c r="B18" s="162">
        <v>60.11</v>
      </c>
      <c r="C18" s="216"/>
      <c r="D18" s="161"/>
      <c r="E18" s="162"/>
      <c r="F18" s="216"/>
      <c r="G18" s="161" t="s">
        <v>451</v>
      </c>
      <c r="H18" s="161">
        <v>145.6</v>
      </c>
    </row>
    <row r="19" spans="1:8" x14ac:dyDescent="0.35">
      <c r="A19" s="161" t="s">
        <v>458</v>
      </c>
      <c r="B19" s="162">
        <v>15.32</v>
      </c>
      <c r="C19" s="216"/>
      <c r="D19" s="161" t="s">
        <v>70</v>
      </c>
      <c r="E19" s="162">
        <v>79.09</v>
      </c>
      <c r="F19" s="216"/>
      <c r="G19" s="161"/>
      <c r="H19" s="162"/>
    </row>
    <row r="20" spans="1:8" x14ac:dyDescent="0.35">
      <c r="A20" s="161" t="s">
        <v>459</v>
      </c>
      <c r="B20" s="162">
        <v>103.1</v>
      </c>
      <c r="C20" s="216"/>
      <c r="D20" s="161" t="s">
        <v>71</v>
      </c>
      <c r="E20" s="162">
        <v>101.14</v>
      </c>
      <c r="F20" s="216"/>
      <c r="G20" s="161" t="s">
        <v>452</v>
      </c>
      <c r="H20" s="162">
        <v>241.2</v>
      </c>
    </row>
    <row r="21" spans="1:8" x14ac:dyDescent="0.35">
      <c r="A21" s="161" t="s">
        <v>460</v>
      </c>
      <c r="B21" s="162">
        <v>21.34</v>
      </c>
      <c r="C21" s="216"/>
      <c r="D21" s="161" t="s">
        <v>446</v>
      </c>
      <c r="E21" s="162">
        <v>100</v>
      </c>
      <c r="F21" s="216"/>
      <c r="G21" s="161" t="s">
        <v>453</v>
      </c>
      <c r="H21" s="162">
        <v>134.80000000000001</v>
      </c>
    </row>
    <row r="22" spans="1:8" x14ac:dyDescent="0.35">
      <c r="A22" s="161" t="s">
        <v>461</v>
      </c>
      <c r="B22" s="162">
        <v>30.12</v>
      </c>
      <c r="C22" s="216"/>
      <c r="D22" s="161" t="s">
        <v>72</v>
      </c>
      <c r="E22" s="162">
        <v>9.1300000000000008</v>
      </c>
      <c r="F22" s="216"/>
      <c r="G22" s="161" t="s">
        <v>94</v>
      </c>
      <c r="H22" s="162">
        <v>139.69999999999999</v>
      </c>
    </row>
    <row r="23" spans="1:8" x14ac:dyDescent="0.35">
      <c r="A23" s="163" t="s">
        <v>455</v>
      </c>
      <c r="B23" s="162">
        <f>SUM(B7:B22)</f>
        <v>1384.9699999999993</v>
      </c>
      <c r="C23" s="216"/>
      <c r="D23" s="161" t="s">
        <v>76</v>
      </c>
      <c r="E23" s="162">
        <v>23.36</v>
      </c>
      <c r="F23" s="216"/>
      <c r="G23" s="163" t="s">
        <v>455</v>
      </c>
      <c r="H23" s="162">
        <f>SUM(H7:H22)</f>
        <v>1651.13</v>
      </c>
    </row>
    <row r="24" spans="1:8" x14ac:dyDescent="0.35">
      <c r="A24" s="230"/>
      <c r="B24" s="230"/>
      <c r="C24" s="216"/>
      <c r="D24" s="161" t="s">
        <v>81</v>
      </c>
      <c r="E24" s="162">
        <v>21.09</v>
      </c>
      <c r="F24" s="216"/>
      <c r="G24" s="217"/>
      <c r="H24" s="217"/>
    </row>
    <row r="25" spans="1:8" x14ac:dyDescent="0.35">
      <c r="A25" s="231"/>
      <c r="B25" s="231"/>
      <c r="C25" s="216"/>
      <c r="D25" s="161" t="s">
        <v>85</v>
      </c>
      <c r="E25" s="162">
        <v>19.32</v>
      </c>
      <c r="F25" s="216"/>
      <c r="G25" s="216"/>
      <c r="H25" s="216"/>
    </row>
    <row r="26" spans="1:8" x14ac:dyDescent="0.35">
      <c r="A26" s="231"/>
      <c r="B26" s="231"/>
      <c r="C26" s="216"/>
      <c r="D26" s="161" t="s">
        <v>88</v>
      </c>
      <c r="E26" s="162">
        <v>19.27</v>
      </c>
      <c r="F26" s="216"/>
      <c r="G26" s="216"/>
      <c r="H26" s="216"/>
    </row>
    <row r="27" spans="1:8" x14ac:dyDescent="0.35">
      <c r="A27" s="231"/>
      <c r="B27" s="231"/>
      <c r="C27" s="216"/>
      <c r="D27" s="163" t="s">
        <v>455</v>
      </c>
      <c r="E27" s="162">
        <f>SUM(E7:E26)</f>
        <v>1300.8</v>
      </c>
      <c r="F27" s="216"/>
      <c r="G27" s="216"/>
      <c r="H27" s="216"/>
    </row>
  </sheetData>
  <mergeCells count="11">
    <mergeCell ref="A24:B27"/>
    <mergeCell ref="G24:H27"/>
    <mergeCell ref="A1:H1"/>
    <mergeCell ref="A2:F2"/>
    <mergeCell ref="A3:F3"/>
    <mergeCell ref="A4:H4"/>
    <mergeCell ref="A5:B5"/>
    <mergeCell ref="C5:C27"/>
    <mergeCell ref="D5:E5"/>
    <mergeCell ref="F5:F27"/>
    <mergeCell ref="G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0"/>
  <sheetViews>
    <sheetView workbookViewId="0">
      <selection activeCell="D5" sqref="D5:I8"/>
    </sheetView>
  </sheetViews>
  <sheetFormatPr defaultRowHeight="14.4" x14ac:dyDescent="0.3"/>
  <cols>
    <col min="3" max="3" width="8.88671875" style="186"/>
    <col min="5" max="5" width="8.88671875" style="186"/>
  </cols>
  <sheetData>
    <row r="1" spans="1:10" x14ac:dyDescent="0.3">
      <c r="A1" t="s">
        <v>437</v>
      </c>
      <c r="B1" t="s">
        <v>438</v>
      </c>
    </row>
    <row r="3" spans="1:10" x14ac:dyDescent="0.3">
      <c r="D3">
        <v>1</v>
      </c>
      <c r="E3" s="186" t="s">
        <v>99</v>
      </c>
      <c r="F3">
        <v>2</v>
      </c>
      <c r="G3">
        <v>2</v>
      </c>
      <c r="H3">
        <v>3</v>
      </c>
      <c r="I3">
        <v>3</v>
      </c>
    </row>
    <row r="4" spans="1:10" x14ac:dyDescent="0.3">
      <c r="C4" s="186" t="s">
        <v>439</v>
      </c>
      <c r="D4">
        <v>1</v>
      </c>
      <c r="E4" s="186" t="s">
        <v>100</v>
      </c>
      <c r="F4">
        <v>1</v>
      </c>
      <c r="G4" s="186" t="s">
        <v>100</v>
      </c>
      <c r="H4">
        <v>1</v>
      </c>
      <c r="I4" s="186" t="s">
        <v>100</v>
      </c>
    </row>
    <row r="5" spans="1:10" x14ac:dyDescent="0.3">
      <c r="C5" s="186">
        <v>9</v>
      </c>
      <c r="D5">
        <v>935.07</v>
      </c>
      <c r="E5" s="214">
        <v>453.24</v>
      </c>
      <c r="F5" s="214"/>
      <c r="G5" s="214"/>
      <c r="H5" s="214"/>
      <c r="I5" s="214"/>
    </row>
    <row r="6" spans="1:10" x14ac:dyDescent="0.3">
      <c r="C6" s="186" t="s">
        <v>384</v>
      </c>
      <c r="D6">
        <v>37.5</v>
      </c>
      <c r="E6" s="214">
        <v>4.2</v>
      </c>
      <c r="F6" s="214"/>
      <c r="G6" s="214"/>
      <c r="H6" s="214"/>
      <c r="I6" s="214"/>
      <c r="J6">
        <v>1</v>
      </c>
    </row>
    <row r="7" spans="1:10" x14ac:dyDescent="0.3">
      <c r="C7" s="186" t="s">
        <v>440</v>
      </c>
      <c r="F7">
        <v>928.87</v>
      </c>
      <c r="G7" s="214">
        <v>377.24400000000003</v>
      </c>
      <c r="H7" s="214">
        <v>1135.8499999999999</v>
      </c>
      <c r="I7" s="214">
        <v>534.9</v>
      </c>
      <c r="J7">
        <v>2</v>
      </c>
    </row>
    <row r="8" spans="1:10" x14ac:dyDescent="0.3">
      <c r="C8" s="186" t="s">
        <v>441</v>
      </c>
      <c r="F8">
        <v>14.5</v>
      </c>
      <c r="G8" s="186"/>
      <c r="H8" s="214">
        <v>14.79</v>
      </c>
      <c r="I8" s="214"/>
      <c r="J8">
        <v>3</v>
      </c>
    </row>
    <row r="9" spans="1:10" x14ac:dyDescent="0.3">
      <c r="C9" s="186" t="s">
        <v>442</v>
      </c>
      <c r="F9" s="214"/>
      <c r="G9" s="214">
        <v>299.02</v>
      </c>
      <c r="H9" s="214"/>
      <c r="I9" s="214"/>
    </row>
    <row r="10" spans="1:10" x14ac:dyDescent="0.3">
      <c r="C10" s="186" t="s">
        <v>443</v>
      </c>
      <c r="F10" s="214"/>
      <c r="G10" s="214">
        <v>169.2</v>
      </c>
      <c r="H10" s="214"/>
      <c r="I10" s="2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="85" zoomScaleNormal="85" workbookViewId="0">
      <selection activeCell="D29" sqref="D29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7" style="156" customWidth="1"/>
    <col min="4" max="4" width="12.5546875" style="156" customWidth="1"/>
    <col min="5" max="5" width="12.88671875" style="156" customWidth="1"/>
    <col min="6" max="6" width="7.44140625" style="156" customWidth="1"/>
    <col min="7" max="7" width="12.5546875" style="156" customWidth="1"/>
    <col min="8" max="8" width="12.88671875" style="156" customWidth="1"/>
    <col min="9" max="16384" width="8.88671875" style="156"/>
  </cols>
  <sheetData>
    <row r="1" spans="1:8" x14ac:dyDescent="0.35">
      <c r="A1" s="219" t="s">
        <v>433</v>
      </c>
      <c r="B1" s="219"/>
      <c r="C1" s="219"/>
      <c r="D1" s="219"/>
      <c r="E1" s="219"/>
      <c r="F1" s="219"/>
      <c r="G1" s="219"/>
      <c r="H1" s="219"/>
    </row>
    <row r="2" spans="1:8" ht="18" customHeight="1" x14ac:dyDescent="0.35">
      <c r="A2" s="221" t="s">
        <v>302</v>
      </c>
      <c r="B2" s="222"/>
      <c r="C2" s="222"/>
      <c r="D2" s="222"/>
      <c r="E2" s="222"/>
      <c r="F2" s="223"/>
      <c r="G2" s="211" t="s">
        <v>2</v>
      </c>
      <c r="H2" s="158" t="s">
        <v>4</v>
      </c>
    </row>
    <row r="3" spans="1:8" ht="37.200000000000003" customHeight="1" x14ac:dyDescent="0.35">
      <c r="A3" s="221" t="s">
        <v>454</v>
      </c>
      <c r="B3" s="222"/>
      <c r="C3" s="222"/>
      <c r="D3" s="222"/>
      <c r="E3" s="222"/>
      <c r="F3" s="223"/>
      <c r="G3" s="211" t="s">
        <v>7</v>
      </c>
      <c r="H3" s="159">
        <f>B16+E18+H19</f>
        <v>2998.74</v>
      </c>
    </row>
    <row r="4" spans="1:8" x14ac:dyDescent="0.35">
      <c r="A4" s="220"/>
      <c r="B4" s="220"/>
      <c r="C4" s="220"/>
      <c r="D4" s="220"/>
      <c r="E4" s="220"/>
      <c r="F4" s="220"/>
      <c r="G4" s="220"/>
      <c r="H4" s="220"/>
    </row>
    <row r="5" spans="1:8" x14ac:dyDescent="0.35">
      <c r="A5" s="218" t="s">
        <v>337</v>
      </c>
      <c r="B5" s="218"/>
      <c r="C5" s="216"/>
      <c r="D5" s="218" t="s">
        <v>338</v>
      </c>
      <c r="E5" s="218"/>
      <c r="F5" s="216"/>
      <c r="G5" s="218" t="s">
        <v>339</v>
      </c>
      <c r="H5" s="218"/>
    </row>
    <row r="6" spans="1:8" ht="36" x14ac:dyDescent="0.35">
      <c r="A6" s="160" t="s">
        <v>98</v>
      </c>
      <c r="B6" s="160" t="s">
        <v>318</v>
      </c>
      <c r="C6" s="216"/>
      <c r="D6" s="160" t="s">
        <v>98</v>
      </c>
      <c r="E6" s="160" t="s">
        <v>318</v>
      </c>
      <c r="F6" s="216"/>
      <c r="G6" s="160" t="s">
        <v>317</v>
      </c>
      <c r="H6" s="160" t="s">
        <v>318</v>
      </c>
    </row>
    <row r="7" spans="1:8" x14ac:dyDescent="0.35">
      <c r="A7" s="161" t="s">
        <v>319</v>
      </c>
      <c r="B7" s="162">
        <v>113.98</v>
      </c>
      <c r="C7" s="216"/>
      <c r="D7" s="161" t="s">
        <v>53</v>
      </c>
      <c r="E7" s="162">
        <v>73.599999999999994</v>
      </c>
      <c r="F7" s="216"/>
      <c r="G7" s="161" t="s">
        <v>325</v>
      </c>
      <c r="H7" s="162">
        <v>72.14</v>
      </c>
    </row>
    <row r="8" spans="1:8" x14ac:dyDescent="0.35">
      <c r="A8" s="161" t="s">
        <v>320</v>
      </c>
      <c r="B8" s="162">
        <v>68.63</v>
      </c>
      <c r="C8" s="216"/>
      <c r="D8" s="161" t="s">
        <v>54</v>
      </c>
      <c r="E8" s="162">
        <v>72.22</v>
      </c>
      <c r="F8" s="216"/>
      <c r="G8" s="161" t="s">
        <v>326</v>
      </c>
      <c r="H8" s="162">
        <v>70.83</v>
      </c>
    </row>
    <row r="9" spans="1:8" x14ac:dyDescent="0.35">
      <c r="A9" s="161" t="s">
        <v>321</v>
      </c>
      <c r="B9" s="162">
        <v>69.02</v>
      </c>
      <c r="C9" s="216"/>
      <c r="D9" s="161" t="s">
        <v>55</v>
      </c>
      <c r="E9" s="162">
        <v>68.37</v>
      </c>
      <c r="F9" s="216"/>
      <c r="G9" s="161" t="s">
        <v>327</v>
      </c>
      <c r="H9" s="162">
        <v>67.760000000000005</v>
      </c>
    </row>
    <row r="10" spans="1:8" x14ac:dyDescent="0.35">
      <c r="A10" s="161" t="s">
        <v>322</v>
      </c>
      <c r="B10" s="162">
        <v>68.94</v>
      </c>
      <c r="C10" s="216"/>
      <c r="D10" s="161" t="s">
        <v>58</v>
      </c>
      <c r="E10" s="162">
        <v>68.25</v>
      </c>
      <c r="F10" s="216"/>
      <c r="G10" s="161" t="s">
        <v>328</v>
      </c>
      <c r="H10" s="162">
        <v>67.77</v>
      </c>
    </row>
    <row r="11" spans="1:8" x14ac:dyDescent="0.35">
      <c r="A11" s="161" t="s">
        <v>323</v>
      </c>
      <c r="B11" s="162">
        <v>68.849999999999994</v>
      </c>
      <c r="C11" s="216"/>
      <c r="D11" s="161" t="s">
        <v>59</v>
      </c>
      <c r="E11" s="162">
        <v>67.709999999999994</v>
      </c>
      <c r="F11" s="216"/>
      <c r="G11" s="161" t="s">
        <v>329</v>
      </c>
      <c r="H11" s="162">
        <v>68.069999999999993</v>
      </c>
    </row>
    <row r="12" spans="1:8" x14ac:dyDescent="0.35">
      <c r="A12" s="161" t="s">
        <v>324</v>
      </c>
      <c r="B12" s="162">
        <v>67.86</v>
      </c>
      <c r="C12" s="216"/>
      <c r="D12" s="161" t="s">
        <v>60</v>
      </c>
      <c r="E12" s="162">
        <v>68.44</v>
      </c>
      <c r="F12" s="216"/>
      <c r="G12" s="161" t="s">
        <v>330</v>
      </c>
      <c r="H12" s="162">
        <v>67.959999999999994</v>
      </c>
    </row>
    <row r="13" spans="1:8" x14ac:dyDescent="0.35">
      <c r="A13" s="161" t="s">
        <v>334</v>
      </c>
      <c r="B13" s="162">
        <v>139.03</v>
      </c>
      <c r="C13" s="216"/>
      <c r="D13" s="161" t="s">
        <v>61</v>
      </c>
      <c r="E13" s="162">
        <v>67.41</v>
      </c>
      <c r="F13" s="216"/>
      <c r="G13" s="161" t="s">
        <v>331</v>
      </c>
      <c r="H13" s="162">
        <v>67.09</v>
      </c>
    </row>
    <row r="14" spans="1:8" x14ac:dyDescent="0.35">
      <c r="A14" s="161" t="s">
        <v>444</v>
      </c>
      <c r="B14" s="162">
        <v>191.9</v>
      </c>
      <c r="C14" s="216"/>
      <c r="D14" s="161" t="s">
        <v>62</v>
      </c>
      <c r="E14" s="162">
        <v>68.59</v>
      </c>
      <c r="F14" s="216"/>
      <c r="G14" s="161" t="s">
        <v>332</v>
      </c>
      <c r="H14" s="162">
        <v>67.099999999999994</v>
      </c>
    </row>
    <row r="15" spans="1:8" x14ac:dyDescent="0.35">
      <c r="A15" s="161" t="s">
        <v>445</v>
      </c>
      <c r="B15" s="162">
        <v>146.69999999999999</v>
      </c>
      <c r="C15" s="216"/>
      <c r="D15" s="161" t="s">
        <v>64</v>
      </c>
      <c r="E15" s="162">
        <v>68.31</v>
      </c>
      <c r="F15" s="216"/>
      <c r="G15" s="161" t="s">
        <v>333</v>
      </c>
      <c r="H15" s="162">
        <v>67.81</v>
      </c>
    </row>
    <row r="16" spans="1:8" x14ac:dyDescent="0.35">
      <c r="A16" s="163" t="s">
        <v>455</v>
      </c>
      <c r="B16" s="162">
        <f>SUM(B7:B15)</f>
        <v>934.90999999999985</v>
      </c>
      <c r="C16" s="216"/>
      <c r="D16" s="161" t="s">
        <v>56</v>
      </c>
      <c r="E16" s="162">
        <v>159.69999999999999</v>
      </c>
      <c r="F16" s="216"/>
      <c r="G16" s="161" t="s">
        <v>449</v>
      </c>
      <c r="H16" s="162">
        <v>130.69999999999999</v>
      </c>
    </row>
    <row r="17" spans="1:8" x14ac:dyDescent="0.35">
      <c r="A17" s="217"/>
      <c r="B17" s="217"/>
      <c r="C17" s="216"/>
      <c r="D17" s="161" t="s">
        <v>63</v>
      </c>
      <c r="E17" s="210">
        <v>145.80000000000001</v>
      </c>
      <c r="F17" s="216"/>
      <c r="G17" s="161" t="s">
        <v>450</v>
      </c>
      <c r="H17" s="161">
        <v>242.6</v>
      </c>
    </row>
    <row r="18" spans="1:8" x14ac:dyDescent="0.35">
      <c r="A18" s="216"/>
      <c r="B18" s="216"/>
      <c r="C18" s="216"/>
      <c r="D18" s="163" t="s">
        <v>455</v>
      </c>
      <c r="E18" s="162">
        <f>SUM(E7:E17)</f>
        <v>928.40000000000009</v>
      </c>
      <c r="F18" s="216"/>
      <c r="G18" s="161" t="s">
        <v>451</v>
      </c>
      <c r="H18" s="161">
        <v>145.6</v>
      </c>
    </row>
    <row r="19" spans="1:8" x14ac:dyDescent="0.35">
      <c r="A19" s="216"/>
      <c r="B19" s="216"/>
      <c r="C19" s="216"/>
      <c r="D19" s="217"/>
      <c r="E19" s="217"/>
      <c r="F19" s="216"/>
      <c r="G19" s="163" t="s">
        <v>455</v>
      </c>
      <c r="H19" s="162">
        <f>SUM(H7:H18)</f>
        <v>1135.43</v>
      </c>
    </row>
  </sheetData>
  <mergeCells count="11">
    <mergeCell ref="G5:H5"/>
    <mergeCell ref="A1:H1"/>
    <mergeCell ref="A4:H4"/>
    <mergeCell ref="A2:F2"/>
    <mergeCell ref="A3:F3"/>
    <mergeCell ref="F5:F19"/>
    <mergeCell ref="C5:C19"/>
    <mergeCell ref="A17:B19"/>
    <mergeCell ref="D19:E19"/>
    <mergeCell ref="A5:B5"/>
    <mergeCell ref="D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="70" zoomScaleNormal="70" workbookViewId="0">
      <selection activeCell="G7" sqref="G7:H9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6.6640625" style="156" customWidth="1"/>
    <col min="4" max="4" width="12.5546875" style="156" customWidth="1"/>
    <col min="5" max="5" width="12.88671875" style="156" customWidth="1"/>
    <col min="6" max="6" width="4.88671875" style="156" customWidth="1"/>
    <col min="7" max="7" width="12.5546875" style="156" customWidth="1"/>
    <col min="8" max="8" width="12.88671875" style="156" customWidth="1"/>
    <col min="9" max="16384" width="8.88671875" style="156"/>
  </cols>
  <sheetData>
    <row r="1" spans="1:8" x14ac:dyDescent="0.35">
      <c r="A1" s="219" t="s">
        <v>433</v>
      </c>
      <c r="B1" s="219"/>
      <c r="C1" s="219"/>
      <c r="D1" s="219"/>
      <c r="E1" s="219"/>
      <c r="F1" s="219"/>
      <c r="G1" s="219"/>
      <c r="H1" s="219"/>
    </row>
    <row r="2" spans="1:8" ht="18" customHeight="1" x14ac:dyDescent="0.35">
      <c r="A2" s="224" t="s">
        <v>302</v>
      </c>
      <c r="B2" s="225"/>
      <c r="C2" s="225"/>
      <c r="D2" s="225"/>
      <c r="E2" s="225"/>
      <c r="F2" s="226"/>
      <c r="G2" s="211" t="s">
        <v>2</v>
      </c>
      <c r="H2" s="158" t="s">
        <v>4</v>
      </c>
    </row>
    <row r="3" spans="1:8" ht="60.6" customHeight="1" x14ac:dyDescent="0.35">
      <c r="A3" s="227" t="s">
        <v>355</v>
      </c>
      <c r="B3" s="228"/>
      <c r="C3" s="228"/>
      <c r="D3" s="228"/>
      <c r="E3" s="228"/>
      <c r="F3" s="229"/>
      <c r="G3" s="211" t="s">
        <v>7</v>
      </c>
      <c r="H3" s="159">
        <f>B9+E19+H13</f>
        <v>2516.1999999999998</v>
      </c>
    </row>
    <row r="4" spans="1:8" x14ac:dyDescent="0.35">
      <c r="A4" s="224"/>
      <c r="B4" s="225"/>
      <c r="C4" s="225"/>
      <c r="D4" s="225"/>
      <c r="E4" s="225"/>
      <c r="F4" s="225"/>
      <c r="G4" s="225"/>
      <c r="H4" s="226"/>
    </row>
    <row r="5" spans="1:8" x14ac:dyDescent="0.35">
      <c r="A5" s="218" t="s">
        <v>337</v>
      </c>
      <c r="B5" s="218"/>
      <c r="C5" s="232"/>
      <c r="D5" s="218" t="s">
        <v>338</v>
      </c>
      <c r="E5" s="218"/>
      <c r="F5" s="232"/>
      <c r="G5" s="218" t="s">
        <v>339</v>
      </c>
      <c r="H5" s="218"/>
    </row>
    <row r="6" spans="1:8" ht="36" x14ac:dyDescent="0.35">
      <c r="A6" s="160" t="s">
        <v>317</v>
      </c>
      <c r="B6" s="160" t="s">
        <v>318</v>
      </c>
      <c r="C6" s="233"/>
      <c r="D6" s="160" t="s">
        <v>317</v>
      </c>
      <c r="E6" s="160" t="s">
        <v>318</v>
      </c>
      <c r="F6" s="233"/>
      <c r="G6" s="160" t="s">
        <v>317</v>
      </c>
      <c r="H6" s="160" t="s">
        <v>318</v>
      </c>
    </row>
    <row r="7" spans="1:8" x14ac:dyDescent="0.35">
      <c r="A7" s="161" t="s">
        <v>444</v>
      </c>
      <c r="B7" s="162">
        <v>191.8</v>
      </c>
      <c r="C7" s="233"/>
      <c r="D7" s="161" t="s">
        <v>56</v>
      </c>
      <c r="E7" s="162">
        <v>158.69999999999999</v>
      </c>
      <c r="F7" s="233"/>
      <c r="G7" s="161" t="s">
        <v>449</v>
      </c>
      <c r="H7" s="162">
        <v>131.69999999999999</v>
      </c>
    </row>
    <row r="8" spans="1:8" x14ac:dyDescent="0.35">
      <c r="A8" s="161" t="s">
        <v>445</v>
      </c>
      <c r="B8" s="162">
        <v>146.5</v>
      </c>
      <c r="C8" s="233"/>
      <c r="D8" s="161" t="s">
        <v>63</v>
      </c>
      <c r="E8" s="162">
        <v>145.80000000000001</v>
      </c>
      <c r="F8" s="233"/>
      <c r="G8" s="161" t="s">
        <v>450</v>
      </c>
      <c r="H8" s="162">
        <v>243.6</v>
      </c>
    </row>
    <row r="9" spans="1:8" x14ac:dyDescent="0.35">
      <c r="A9" s="163" t="s">
        <v>336</v>
      </c>
      <c r="B9" s="162">
        <f>SUM(B7:B8)</f>
        <v>338.3</v>
      </c>
      <c r="C9" s="233"/>
      <c r="D9" s="161" t="s">
        <v>71</v>
      </c>
      <c r="E9" s="162">
        <f>201.1-E10</f>
        <v>168.5</v>
      </c>
      <c r="F9" s="233"/>
      <c r="G9" s="161" t="s">
        <v>451</v>
      </c>
      <c r="H9" s="162">
        <v>146.6</v>
      </c>
    </row>
    <row r="10" spans="1:8" x14ac:dyDescent="0.35">
      <c r="A10" s="234"/>
      <c r="B10" s="234"/>
      <c r="C10" s="234"/>
      <c r="D10" s="161" t="s">
        <v>446</v>
      </c>
      <c r="E10" s="162">
        <v>32.6</v>
      </c>
      <c r="F10" s="233"/>
      <c r="G10" s="161" t="s">
        <v>452</v>
      </c>
      <c r="H10" s="162">
        <v>238.2</v>
      </c>
    </row>
    <row r="11" spans="1:8" x14ac:dyDescent="0.35">
      <c r="A11" s="234"/>
      <c r="B11" s="234"/>
      <c r="C11" s="234"/>
      <c r="D11" s="161" t="s">
        <v>72</v>
      </c>
      <c r="E11" s="162">
        <v>9.1</v>
      </c>
      <c r="F11" s="233"/>
      <c r="G11" s="161" t="s">
        <v>453</v>
      </c>
      <c r="H11" s="162">
        <v>134.80000000000001</v>
      </c>
    </row>
    <row r="12" spans="1:8" x14ac:dyDescent="0.35">
      <c r="A12" s="234"/>
      <c r="B12" s="234"/>
      <c r="C12" s="234"/>
      <c r="D12" s="161" t="s">
        <v>70</v>
      </c>
      <c r="E12" s="162">
        <v>79.099999999999994</v>
      </c>
      <c r="F12" s="233"/>
      <c r="G12" s="161" t="s">
        <v>94</v>
      </c>
      <c r="H12" s="162">
        <v>139.69999999999999</v>
      </c>
    </row>
    <row r="13" spans="1:8" x14ac:dyDescent="0.35">
      <c r="A13" s="234"/>
      <c r="B13" s="234"/>
      <c r="C13" s="234"/>
      <c r="D13" s="161" t="s">
        <v>76</v>
      </c>
      <c r="E13" s="162">
        <v>23.3</v>
      </c>
      <c r="F13" s="233"/>
      <c r="G13" s="163" t="s">
        <v>336</v>
      </c>
      <c r="H13" s="162">
        <f>SUM(H7:H12)</f>
        <v>1034.5999999999999</v>
      </c>
    </row>
    <row r="14" spans="1:8" x14ac:dyDescent="0.35">
      <c r="A14" s="234"/>
      <c r="B14" s="234"/>
      <c r="C14" s="234"/>
      <c r="D14" s="161" t="s">
        <v>81</v>
      </c>
      <c r="E14" s="162">
        <v>21.1</v>
      </c>
      <c r="F14" s="233"/>
      <c r="G14" s="230"/>
      <c r="H14" s="230"/>
    </row>
    <row r="15" spans="1:8" x14ac:dyDescent="0.35">
      <c r="A15" s="234"/>
      <c r="B15" s="234"/>
      <c r="C15" s="234"/>
      <c r="D15" s="161" t="s">
        <v>85</v>
      </c>
      <c r="E15" s="162">
        <v>19.3</v>
      </c>
      <c r="F15" s="233"/>
      <c r="G15" s="231"/>
      <c r="H15" s="231"/>
    </row>
    <row r="16" spans="1:8" x14ac:dyDescent="0.35">
      <c r="A16" s="234"/>
      <c r="B16" s="234"/>
      <c r="C16" s="234"/>
      <c r="D16" s="161" t="s">
        <v>88</v>
      </c>
      <c r="E16" s="162">
        <v>19.2</v>
      </c>
      <c r="F16" s="233"/>
      <c r="G16" s="231"/>
      <c r="H16" s="231"/>
    </row>
    <row r="17" spans="1:8" x14ac:dyDescent="0.35">
      <c r="A17" s="234"/>
      <c r="B17" s="234"/>
      <c r="C17" s="234"/>
      <c r="D17" s="161" t="s">
        <v>447</v>
      </c>
      <c r="E17" s="162">
        <v>298.10000000000002</v>
      </c>
      <c r="F17" s="233"/>
      <c r="G17" s="231"/>
      <c r="H17" s="231"/>
    </row>
    <row r="18" spans="1:8" x14ac:dyDescent="0.35">
      <c r="A18" s="234"/>
      <c r="B18" s="234"/>
      <c r="C18" s="234"/>
      <c r="D18" s="161" t="s">
        <v>448</v>
      </c>
      <c r="E18" s="162">
        <v>168.5</v>
      </c>
      <c r="F18" s="233"/>
      <c r="G18" s="231"/>
      <c r="H18" s="231"/>
    </row>
    <row r="19" spans="1:8" x14ac:dyDescent="0.35">
      <c r="A19" s="234"/>
      <c r="B19" s="234"/>
      <c r="C19" s="234"/>
      <c r="D19" s="163" t="s">
        <v>336</v>
      </c>
      <c r="E19" s="162">
        <f>SUM(E7:E18)</f>
        <v>1143.3000000000002</v>
      </c>
      <c r="F19" s="233"/>
      <c r="G19" s="231"/>
      <c r="H19" s="231"/>
    </row>
  </sheetData>
  <mergeCells count="11">
    <mergeCell ref="A1:H1"/>
    <mergeCell ref="A4:H4"/>
    <mergeCell ref="F5:F19"/>
    <mergeCell ref="C5:C19"/>
    <mergeCell ref="A10:B19"/>
    <mergeCell ref="A2:F2"/>
    <mergeCell ref="A3:F3"/>
    <mergeCell ref="G14:H19"/>
    <mergeCell ref="A5:B5"/>
    <mergeCell ref="D5:E5"/>
    <mergeCell ref="G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31"/>
  <sheetViews>
    <sheetView workbookViewId="0">
      <selection activeCell="B16" sqref="B16:E16"/>
    </sheetView>
  </sheetViews>
  <sheetFormatPr defaultRowHeight="14.4" x14ac:dyDescent="0.3"/>
  <cols>
    <col min="4" max="4" width="14.21875" customWidth="1"/>
    <col min="5" max="5" width="14.5546875" customWidth="1"/>
    <col min="6" max="6" width="26.44140625" customWidth="1"/>
    <col min="7" max="7" width="13.44140625" customWidth="1"/>
    <col min="8" max="8" width="14.109375" customWidth="1"/>
  </cols>
  <sheetData>
    <row r="1" spans="1:8" ht="18" x14ac:dyDescent="0.3">
      <c r="A1" s="235" t="s">
        <v>433</v>
      </c>
      <c r="B1" s="236"/>
      <c r="C1" s="236"/>
      <c r="D1" s="236"/>
      <c r="E1" s="236"/>
      <c r="F1" s="236"/>
      <c r="G1" s="236"/>
      <c r="H1" s="237"/>
    </row>
    <row r="2" spans="1:8" ht="18" x14ac:dyDescent="0.3">
      <c r="A2" s="192" t="s">
        <v>358</v>
      </c>
      <c r="B2" s="224" t="s">
        <v>302</v>
      </c>
      <c r="C2" s="225"/>
      <c r="D2" s="225"/>
      <c r="E2" s="226"/>
      <c r="F2" s="167" t="s">
        <v>340</v>
      </c>
      <c r="G2" s="192" t="s">
        <v>2</v>
      </c>
      <c r="H2" s="158" t="s">
        <v>4</v>
      </c>
    </row>
    <row r="3" spans="1:8" ht="58.8" customHeight="1" x14ac:dyDescent="0.3">
      <c r="A3" s="192">
        <v>1</v>
      </c>
      <c r="B3" s="227" t="s">
        <v>366</v>
      </c>
      <c r="C3" s="228"/>
      <c r="D3" s="228"/>
      <c r="E3" s="229"/>
      <c r="F3" s="167" t="s">
        <v>409</v>
      </c>
      <c r="G3" s="192" t="s">
        <v>7</v>
      </c>
      <c r="H3" s="159">
        <f>D11</f>
        <v>810.21</v>
      </c>
    </row>
    <row r="4" spans="1:8" ht="18" x14ac:dyDescent="0.35">
      <c r="A4" s="217"/>
      <c r="B4" s="217"/>
      <c r="C4" s="217"/>
      <c r="D4" s="217"/>
      <c r="E4" s="217"/>
      <c r="F4" s="217"/>
      <c r="G4" s="217"/>
      <c r="H4" s="217"/>
    </row>
    <row r="5" spans="1:8" ht="18" x14ac:dyDescent="0.3">
      <c r="A5" s="163" t="s">
        <v>360</v>
      </c>
      <c r="B5" s="163" t="s">
        <v>367</v>
      </c>
      <c r="C5" s="163" t="s">
        <v>36</v>
      </c>
      <c r="D5" s="163" t="s">
        <v>398</v>
      </c>
      <c r="E5" s="234"/>
      <c r="F5" s="234"/>
      <c r="G5" s="234"/>
      <c r="H5" s="234"/>
    </row>
    <row r="6" spans="1:8" ht="18" x14ac:dyDescent="0.3">
      <c r="A6" s="163" t="s">
        <v>100</v>
      </c>
      <c r="B6" s="163" t="s">
        <v>407</v>
      </c>
      <c r="C6" s="183" t="s">
        <v>391</v>
      </c>
      <c r="D6" s="163">
        <v>238.43</v>
      </c>
      <c r="E6" s="234"/>
      <c r="F6" s="234"/>
      <c r="G6" s="234"/>
      <c r="H6" s="234"/>
    </row>
    <row r="7" spans="1:8" ht="18" x14ac:dyDescent="0.3">
      <c r="A7" s="163" t="s">
        <v>100</v>
      </c>
      <c r="B7" s="163" t="s">
        <v>408</v>
      </c>
      <c r="C7" s="183" t="s">
        <v>391</v>
      </c>
      <c r="D7" s="163">
        <v>83.81</v>
      </c>
      <c r="E7" s="234"/>
      <c r="F7" s="234"/>
      <c r="G7" s="234"/>
      <c r="H7" s="234"/>
    </row>
    <row r="8" spans="1:8" ht="18" x14ac:dyDescent="0.3">
      <c r="A8" s="163" t="s">
        <v>100</v>
      </c>
      <c r="B8" s="163" t="s">
        <v>368</v>
      </c>
      <c r="C8" s="163">
        <v>6</v>
      </c>
      <c r="D8" s="163">
        <v>433.72</v>
      </c>
      <c r="E8" s="234"/>
      <c r="F8" s="234"/>
      <c r="G8" s="234"/>
      <c r="H8" s="234"/>
    </row>
    <row r="9" spans="1:8" ht="18" x14ac:dyDescent="0.3">
      <c r="A9" s="163" t="s">
        <v>100</v>
      </c>
      <c r="B9" s="163" t="s">
        <v>369</v>
      </c>
      <c r="C9" s="163">
        <v>7</v>
      </c>
      <c r="D9" s="163">
        <v>7.73</v>
      </c>
      <c r="E9" s="234"/>
      <c r="F9" s="234"/>
      <c r="G9" s="234"/>
      <c r="H9" s="234"/>
    </row>
    <row r="10" spans="1:8" ht="18" x14ac:dyDescent="0.3">
      <c r="A10" s="163" t="s">
        <v>100</v>
      </c>
      <c r="B10" s="163" t="s">
        <v>369</v>
      </c>
      <c r="C10" s="183" t="s">
        <v>370</v>
      </c>
      <c r="D10" s="163">
        <v>46.52</v>
      </c>
      <c r="E10" s="234"/>
      <c r="F10" s="234"/>
      <c r="G10" s="234"/>
      <c r="H10" s="234"/>
    </row>
    <row r="11" spans="1:8" ht="18" x14ac:dyDescent="0.35">
      <c r="A11" s="217"/>
      <c r="B11" s="239"/>
      <c r="C11" s="182" t="s">
        <v>364</v>
      </c>
      <c r="D11" s="163">
        <f>SUM(D6:D10)</f>
        <v>810.21</v>
      </c>
      <c r="E11" s="234"/>
      <c r="F11" s="234"/>
      <c r="G11" s="234"/>
      <c r="H11" s="234"/>
    </row>
    <row r="12" spans="1:8" x14ac:dyDescent="0.3">
      <c r="A12" s="238"/>
      <c r="B12" s="238"/>
      <c r="C12" s="238"/>
      <c r="D12" s="238"/>
      <c r="E12" s="238"/>
      <c r="F12" s="238"/>
      <c r="G12" s="238"/>
      <c r="H12" s="238"/>
    </row>
    <row r="13" spans="1:8" ht="18" x14ac:dyDescent="0.3">
      <c r="A13" s="219" t="s">
        <v>434</v>
      </c>
      <c r="B13" s="219"/>
      <c r="C13" s="219"/>
      <c r="D13" s="219"/>
      <c r="E13" s="219"/>
      <c r="F13" s="219"/>
      <c r="G13" s="219"/>
      <c r="H13" s="219"/>
    </row>
    <row r="14" spans="1:8" ht="18" x14ac:dyDescent="0.3">
      <c r="A14" s="192" t="s">
        <v>358</v>
      </c>
      <c r="B14" s="224" t="s">
        <v>302</v>
      </c>
      <c r="C14" s="225"/>
      <c r="D14" s="225"/>
      <c r="E14" s="226"/>
      <c r="F14" s="167" t="s">
        <v>340</v>
      </c>
      <c r="G14" s="192" t="s">
        <v>2</v>
      </c>
      <c r="H14" s="158" t="s">
        <v>4</v>
      </c>
    </row>
    <row r="15" spans="1:8" ht="52.8" customHeight="1" x14ac:dyDescent="0.3">
      <c r="A15" s="192">
        <v>1</v>
      </c>
      <c r="B15" s="227" t="s">
        <v>394</v>
      </c>
      <c r="C15" s="228"/>
      <c r="D15" s="228"/>
      <c r="E15" s="229"/>
      <c r="F15" s="167" t="s">
        <v>419</v>
      </c>
      <c r="G15" s="192" t="s">
        <v>7</v>
      </c>
      <c r="H15" s="159">
        <f>SUM(D20:D22)+SUM(D26:D28)</f>
        <v>151.58000000000001</v>
      </c>
    </row>
    <row r="16" spans="1:8" ht="53.4" customHeight="1" x14ac:dyDescent="0.3">
      <c r="A16" s="192">
        <v>2</v>
      </c>
      <c r="B16" s="227" t="s">
        <v>420</v>
      </c>
      <c r="C16" s="228"/>
      <c r="D16" s="228"/>
      <c r="E16" s="229"/>
      <c r="F16" s="167" t="s">
        <v>421</v>
      </c>
      <c r="G16" s="192" t="s">
        <v>7</v>
      </c>
      <c r="H16" s="159">
        <f>D23+D29</f>
        <v>56.28</v>
      </c>
    </row>
    <row r="17" spans="1:8" ht="51.6" customHeight="1" x14ac:dyDescent="0.3">
      <c r="A17" s="192">
        <v>3</v>
      </c>
      <c r="B17" s="227" t="s">
        <v>420</v>
      </c>
      <c r="C17" s="228"/>
      <c r="D17" s="228"/>
      <c r="E17" s="229"/>
      <c r="F17" s="167" t="s">
        <v>422</v>
      </c>
      <c r="G17" s="192" t="s">
        <v>7</v>
      </c>
      <c r="H17" s="159">
        <f>D24+D30</f>
        <v>32.479999999999997</v>
      </c>
    </row>
    <row r="18" spans="1:8" ht="18" x14ac:dyDescent="0.35">
      <c r="A18" s="217"/>
      <c r="B18" s="217"/>
      <c r="C18" s="217"/>
      <c r="D18" s="217"/>
      <c r="E18" s="217"/>
      <c r="F18" s="217"/>
      <c r="G18" s="217"/>
      <c r="H18" s="217"/>
    </row>
    <row r="19" spans="1:8" ht="18" x14ac:dyDescent="0.3">
      <c r="A19" s="163" t="s">
        <v>360</v>
      </c>
      <c r="B19" s="163" t="s">
        <v>367</v>
      </c>
      <c r="C19" s="163" t="s">
        <v>36</v>
      </c>
      <c r="D19" s="163" t="s">
        <v>398</v>
      </c>
      <c r="E19" s="234"/>
      <c r="F19" s="234"/>
      <c r="G19" s="234"/>
      <c r="H19" s="234"/>
    </row>
    <row r="20" spans="1:8" ht="18" x14ac:dyDescent="0.3">
      <c r="A20" s="163" t="s">
        <v>100</v>
      </c>
      <c r="B20" s="163" t="s">
        <v>427</v>
      </c>
      <c r="C20" s="183">
        <v>6</v>
      </c>
      <c r="D20" s="163">
        <v>29.89</v>
      </c>
      <c r="E20" s="234"/>
      <c r="F20" s="234"/>
      <c r="G20" s="234"/>
      <c r="H20" s="234"/>
    </row>
    <row r="21" spans="1:8" ht="18" x14ac:dyDescent="0.3">
      <c r="A21" s="163" t="s">
        <v>100</v>
      </c>
      <c r="B21" s="163" t="s">
        <v>427</v>
      </c>
      <c r="C21" s="183">
        <v>6.1</v>
      </c>
      <c r="D21" s="163">
        <v>29.340000000000003</v>
      </c>
      <c r="E21" s="234"/>
      <c r="F21" s="234"/>
      <c r="G21" s="234"/>
      <c r="H21" s="234"/>
    </row>
    <row r="22" spans="1:8" ht="18" x14ac:dyDescent="0.3">
      <c r="A22" s="163" t="s">
        <v>100</v>
      </c>
      <c r="B22" s="163" t="s">
        <v>427</v>
      </c>
      <c r="C22" s="183">
        <v>6.2</v>
      </c>
      <c r="D22" s="163">
        <v>16.560000000000002</v>
      </c>
      <c r="E22" s="234"/>
      <c r="F22" s="234"/>
      <c r="G22" s="234"/>
      <c r="H22" s="234"/>
    </row>
    <row r="23" spans="1:8" ht="18" x14ac:dyDescent="0.3">
      <c r="A23" s="163" t="s">
        <v>100</v>
      </c>
      <c r="B23" s="163" t="s">
        <v>427</v>
      </c>
      <c r="C23" s="183">
        <v>6.3</v>
      </c>
      <c r="D23" s="163">
        <v>29.58</v>
      </c>
      <c r="E23" s="234"/>
      <c r="F23" s="234"/>
      <c r="G23" s="234"/>
      <c r="H23" s="234"/>
    </row>
    <row r="24" spans="1:8" ht="18" x14ac:dyDescent="0.3">
      <c r="A24" s="163" t="s">
        <v>100</v>
      </c>
      <c r="B24" s="163" t="s">
        <v>427</v>
      </c>
      <c r="C24" s="183">
        <v>6.4</v>
      </c>
      <c r="D24" s="163">
        <v>16.239999999999998</v>
      </c>
      <c r="E24" s="234"/>
      <c r="F24" s="234"/>
      <c r="G24" s="234"/>
      <c r="H24" s="234"/>
    </row>
    <row r="25" spans="1:8" ht="18" x14ac:dyDescent="0.3">
      <c r="A25" s="163"/>
      <c r="B25" s="163"/>
      <c r="C25" s="183"/>
      <c r="D25" s="163"/>
      <c r="E25" s="234"/>
      <c r="F25" s="234"/>
      <c r="G25" s="234"/>
      <c r="H25" s="234"/>
    </row>
    <row r="26" spans="1:8" ht="18" x14ac:dyDescent="0.3">
      <c r="A26" s="163" t="s">
        <v>100</v>
      </c>
      <c r="B26" s="163" t="s">
        <v>428</v>
      </c>
      <c r="C26" s="183">
        <v>6</v>
      </c>
      <c r="D26" s="163">
        <v>29.89</v>
      </c>
      <c r="E26" s="234"/>
      <c r="F26" s="234"/>
      <c r="G26" s="234"/>
      <c r="H26" s="234"/>
    </row>
    <row r="27" spans="1:8" ht="18" x14ac:dyDescent="0.3">
      <c r="A27" s="163" t="s">
        <v>100</v>
      </c>
      <c r="B27" s="163" t="s">
        <v>428</v>
      </c>
      <c r="C27" s="183">
        <v>6.1</v>
      </c>
      <c r="D27" s="163">
        <v>29.340000000000003</v>
      </c>
      <c r="E27" s="234"/>
      <c r="F27" s="234"/>
      <c r="G27" s="234"/>
      <c r="H27" s="234"/>
    </row>
    <row r="28" spans="1:8" ht="18" x14ac:dyDescent="0.3">
      <c r="A28" s="163" t="s">
        <v>100</v>
      </c>
      <c r="B28" s="163" t="s">
        <v>428</v>
      </c>
      <c r="C28" s="183">
        <v>6.2</v>
      </c>
      <c r="D28" s="163">
        <v>16.560000000000002</v>
      </c>
      <c r="E28" s="234"/>
      <c r="F28" s="234"/>
      <c r="G28" s="234"/>
      <c r="H28" s="234"/>
    </row>
    <row r="29" spans="1:8" ht="18" x14ac:dyDescent="0.3">
      <c r="A29" s="163" t="s">
        <v>100</v>
      </c>
      <c r="B29" s="163" t="s">
        <v>428</v>
      </c>
      <c r="C29" s="183">
        <v>6.3</v>
      </c>
      <c r="D29" s="163">
        <v>26.700000000000003</v>
      </c>
      <c r="E29" s="234"/>
      <c r="F29" s="234"/>
      <c r="G29" s="234"/>
      <c r="H29" s="234"/>
    </row>
    <row r="30" spans="1:8" ht="18" x14ac:dyDescent="0.3">
      <c r="A30" s="163" t="s">
        <v>100</v>
      </c>
      <c r="B30" s="163" t="s">
        <v>428</v>
      </c>
      <c r="C30" s="183">
        <v>6.4</v>
      </c>
      <c r="D30" s="163">
        <v>16.239999999999998</v>
      </c>
      <c r="E30" s="234"/>
      <c r="F30" s="234"/>
      <c r="G30" s="234"/>
      <c r="H30" s="234"/>
    </row>
    <row r="31" spans="1:8" ht="18" x14ac:dyDescent="0.35">
      <c r="A31" s="156"/>
      <c r="B31" s="156"/>
      <c r="C31" s="182" t="s">
        <v>364</v>
      </c>
      <c r="D31" s="163">
        <f>SUM(D20:D30)</f>
        <v>240.34000000000003</v>
      </c>
      <c r="E31" s="234"/>
      <c r="F31" s="234"/>
      <c r="G31" s="234"/>
      <c r="H31" s="234"/>
    </row>
  </sheetData>
  <mergeCells count="14">
    <mergeCell ref="A1:H1"/>
    <mergeCell ref="A12:H12"/>
    <mergeCell ref="A11:B11"/>
    <mergeCell ref="E19:H31"/>
    <mergeCell ref="A13:H13"/>
    <mergeCell ref="B2:E2"/>
    <mergeCell ref="B3:E3"/>
    <mergeCell ref="A4:H4"/>
    <mergeCell ref="E5:H11"/>
    <mergeCell ref="B14:E14"/>
    <mergeCell ref="B15:E15"/>
    <mergeCell ref="B16:E16"/>
    <mergeCell ref="B17:E17"/>
    <mergeCell ref="A18:H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21"/>
  <sheetViews>
    <sheetView workbookViewId="0">
      <selection activeCell="N5" sqref="N5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4" t="s">
        <v>358</v>
      </c>
      <c r="B2" s="224" t="s">
        <v>302</v>
      </c>
      <c r="C2" s="225"/>
      <c r="D2" s="225"/>
      <c r="E2" s="226"/>
      <c r="F2" s="167" t="s">
        <v>340</v>
      </c>
      <c r="G2" s="194" t="s">
        <v>2</v>
      </c>
      <c r="H2" s="158" t="s">
        <v>4</v>
      </c>
    </row>
    <row r="3" spans="1:8" ht="58.8" customHeight="1" x14ac:dyDescent="0.3">
      <c r="A3" s="194">
        <v>1</v>
      </c>
      <c r="B3" s="227" t="s">
        <v>169</v>
      </c>
      <c r="C3" s="228"/>
      <c r="D3" s="228"/>
      <c r="E3" s="229"/>
      <c r="F3" s="167" t="s">
        <v>432</v>
      </c>
      <c r="G3" s="194" t="s">
        <v>7</v>
      </c>
      <c r="H3" s="159">
        <f>D21</f>
        <v>157.39999999999998</v>
      </c>
    </row>
    <row r="4" spans="1:8" ht="18" x14ac:dyDescent="0.35">
      <c r="A4" s="217"/>
      <c r="B4" s="217"/>
      <c r="C4" s="217"/>
      <c r="D4" s="217"/>
      <c r="E4" s="217"/>
      <c r="F4" s="217"/>
      <c r="G4" s="217"/>
      <c r="H4" s="217"/>
    </row>
    <row r="5" spans="1:8" ht="18" x14ac:dyDescent="0.3">
      <c r="A5" s="163" t="s">
        <v>0</v>
      </c>
      <c r="B5" s="163" t="s">
        <v>367</v>
      </c>
      <c r="C5" s="163" t="s">
        <v>36</v>
      </c>
      <c r="D5" s="163" t="s">
        <v>398</v>
      </c>
      <c r="E5" s="234"/>
      <c r="F5" s="234"/>
      <c r="G5" s="234"/>
      <c r="H5" s="234"/>
    </row>
    <row r="6" spans="1:8" ht="18" x14ac:dyDescent="0.3">
      <c r="A6" s="163">
        <v>1</v>
      </c>
      <c r="B6" s="163" t="s">
        <v>396</v>
      </c>
      <c r="C6" s="183" t="s">
        <v>382</v>
      </c>
      <c r="D6" s="163">
        <v>3.14</v>
      </c>
      <c r="E6" s="234"/>
      <c r="F6" s="234"/>
      <c r="G6" s="234"/>
      <c r="H6" s="234"/>
    </row>
    <row r="7" spans="1:8" ht="18" x14ac:dyDescent="0.3">
      <c r="A7" s="163">
        <v>2</v>
      </c>
      <c r="B7" s="163" t="s">
        <v>380</v>
      </c>
      <c r="C7" s="183" t="s">
        <v>382</v>
      </c>
      <c r="D7" s="163">
        <v>5.25</v>
      </c>
      <c r="E7" s="234"/>
      <c r="F7" s="234"/>
      <c r="G7" s="234"/>
      <c r="H7" s="234"/>
    </row>
    <row r="8" spans="1:8" ht="18" x14ac:dyDescent="0.3">
      <c r="A8" s="163">
        <v>3</v>
      </c>
      <c r="B8" s="163" t="s">
        <v>68</v>
      </c>
      <c r="C8" s="183" t="s">
        <v>397</v>
      </c>
      <c r="D8" s="163">
        <v>3.16</v>
      </c>
      <c r="E8" s="234"/>
      <c r="F8" s="234"/>
      <c r="G8" s="234"/>
      <c r="H8" s="234"/>
    </row>
    <row r="9" spans="1:8" ht="18" x14ac:dyDescent="0.3">
      <c r="A9" s="163">
        <v>4</v>
      </c>
      <c r="B9" s="163" t="s">
        <v>69</v>
      </c>
      <c r="C9" s="183" t="s">
        <v>397</v>
      </c>
      <c r="D9" s="163">
        <v>5.29</v>
      </c>
      <c r="E9" s="234"/>
      <c r="F9" s="234"/>
      <c r="G9" s="234"/>
      <c r="H9" s="234"/>
    </row>
    <row r="10" spans="1:8" ht="18" x14ac:dyDescent="0.3">
      <c r="A10" s="163">
        <v>5</v>
      </c>
      <c r="B10" s="163" t="s">
        <v>399</v>
      </c>
      <c r="C10" s="183" t="s">
        <v>397</v>
      </c>
      <c r="D10" s="163">
        <v>3.18</v>
      </c>
      <c r="E10" s="234"/>
      <c r="F10" s="234"/>
      <c r="G10" s="234"/>
      <c r="H10" s="234"/>
    </row>
    <row r="11" spans="1:8" ht="18" x14ac:dyDescent="0.3">
      <c r="A11" s="163">
        <v>6</v>
      </c>
      <c r="B11" s="163" t="s">
        <v>400</v>
      </c>
      <c r="C11" s="183" t="s">
        <v>397</v>
      </c>
      <c r="D11" s="163">
        <v>5.25</v>
      </c>
      <c r="E11" s="234"/>
      <c r="F11" s="234"/>
      <c r="G11" s="234"/>
      <c r="H11" s="234"/>
    </row>
    <row r="12" spans="1:8" ht="18" x14ac:dyDescent="0.3">
      <c r="A12" s="163">
        <v>7</v>
      </c>
      <c r="B12" s="163" t="s">
        <v>401</v>
      </c>
      <c r="C12" s="183" t="s">
        <v>101</v>
      </c>
      <c r="D12" s="163">
        <v>17.059999999999999</v>
      </c>
      <c r="E12" s="234"/>
      <c r="F12" s="234"/>
      <c r="G12" s="234"/>
      <c r="H12" s="234"/>
    </row>
    <row r="13" spans="1:8" ht="18" x14ac:dyDescent="0.3">
      <c r="A13" s="163">
        <v>8</v>
      </c>
      <c r="B13" s="163" t="s">
        <v>402</v>
      </c>
      <c r="C13" s="183" t="s">
        <v>101</v>
      </c>
      <c r="D13" s="163">
        <v>21.33</v>
      </c>
      <c r="E13" s="234"/>
      <c r="F13" s="234"/>
      <c r="G13" s="234"/>
      <c r="H13" s="234"/>
    </row>
    <row r="14" spans="1:8" ht="18" x14ac:dyDescent="0.3">
      <c r="A14" s="163">
        <v>9</v>
      </c>
      <c r="B14" s="163" t="s">
        <v>403</v>
      </c>
      <c r="C14" s="183" t="s">
        <v>101</v>
      </c>
      <c r="D14" s="163">
        <v>5.69</v>
      </c>
      <c r="E14" s="234"/>
      <c r="F14" s="234"/>
      <c r="G14" s="234"/>
      <c r="H14" s="234"/>
    </row>
    <row r="15" spans="1:8" ht="18" x14ac:dyDescent="0.3">
      <c r="A15" s="163">
        <v>10</v>
      </c>
      <c r="B15" s="163" t="s">
        <v>65</v>
      </c>
      <c r="C15" s="183" t="s">
        <v>101</v>
      </c>
      <c r="D15" s="163">
        <v>17.079999999999998</v>
      </c>
      <c r="E15" s="234"/>
      <c r="F15" s="234"/>
      <c r="G15" s="234"/>
      <c r="H15" s="234"/>
    </row>
    <row r="16" spans="1:8" ht="18" x14ac:dyDescent="0.3">
      <c r="A16" s="163">
        <v>11</v>
      </c>
      <c r="B16" s="163" t="s">
        <v>66</v>
      </c>
      <c r="C16" s="183" t="s">
        <v>101</v>
      </c>
      <c r="D16" s="163">
        <v>21.31</v>
      </c>
      <c r="E16" s="234"/>
      <c r="F16" s="234"/>
      <c r="G16" s="234"/>
      <c r="H16" s="234"/>
    </row>
    <row r="17" spans="1:8" ht="18" x14ac:dyDescent="0.3">
      <c r="A17" s="163">
        <v>12</v>
      </c>
      <c r="B17" s="163" t="s">
        <v>67</v>
      </c>
      <c r="C17" s="183" t="s">
        <v>101</v>
      </c>
      <c r="D17" s="163">
        <v>5.68</v>
      </c>
      <c r="E17" s="234"/>
      <c r="F17" s="234"/>
      <c r="G17" s="234"/>
      <c r="H17" s="234"/>
    </row>
    <row r="18" spans="1:8" ht="18" x14ac:dyDescent="0.3">
      <c r="A18" s="163">
        <v>13</v>
      </c>
      <c r="B18" s="163" t="s">
        <v>404</v>
      </c>
      <c r="C18" s="183" t="s">
        <v>101</v>
      </c>
      <c r="D18" s="163">
        <v>17.02</v>
      </c>
      <c r="E18" s="234"/>
      <c r="F18" s="234"/>
      <c r="G18" s="234"/>
      <c r="H18" s="234"/>
    </row>
    <row r="19" spans="1:8" ht="18" x14ac:dyDescent="0.3">
      <c r="A19" s="163">
        <v>14</v>
      </c>
      <c r="B19" s="163" t="s">
        <v>405</v>
      </c>
      <c r="C19" s="183" t="s">
        <v>101</v>
      </c>
      <c r="D19" s="163">
        <v>21.33</v>
      </c>
      <c r="E19" s="234"/>
      <c r="F19" s="234"/>
      <c r="G19" s="234"/>
      <c r="H19" s="234"/>
    </row>
    <row r="20" spans="1:8" ht="18" x14ac:dyDescent="0.3">
      <c r="A20" s="163">
        <v>15</v>
      </c>
      <c r="B20" s="163" t="s">
        <v>406</v>
      </c>
      <c r="C20" s="183" t="s">
        <v>101</v>
      </c>
      <c r="D20" s="163">
        <v>5.63</v>
      </c>
      <c r="E20" s="234"/>
      <c r="F20" s="234"/>
      <c r="G20" s="234"/>
      <c r="H20" s="234"/>
    </row>
    <row r="21" spans="1:8" ht="18" x14ac:dyDescent="0.35">
      <c r="A21" s="156"/>
      <c r="B21" s="156"/>
      <c r="C21" s="182" t="s">
        <v>364</v>
      </c>
      <c r="D21" s="163">
        <f>SUM(D6:D20)</f>
        <v>157.39999999999998</v>
      </c>
      <c r="E21" s="234"/>
      <c r="F21" s="234"/>
      <c r="G21" s="234"/>
      <c r="H21" s="234"/>
    </row>
  </sheetData>
  <mergeCells count="5">
    <mergeCell ref="A1:H1"/>
    <mergeCell ref="B2:E2"/>
    <mergeCell ref="B3:E3"/>
    <mergeCell ref="A4:H4"/>
    <mergeCell ref="E5:H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21"/>
  <sheetViews>
    <sheetView zoomScale="70" zoomScaleNormal="70" workbookViewId="0">
      <selection activeCell="A22" sqref="A22:XFD22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4" t="s">
        <v>358</v>
      </c>
      <c r="B2" s="224" t="s">
        <v>302</v>
      </c>
      <c r="C2" s="225"/>
      <c r="D2" s="225"/>
      <c r="E2" s="226"/>
      <c r="F2" s="167" t="s">
        <v>340</v>
      </c>
      <c r="G2" s="194" t="s">
        <v>2</v>
      </c>
      <c r="H2" s="158" t="s">
        <v>4</v>
      </c>
    </row>
    <row r="3" spans="1:8" ht="58.8" customHeight="1" x14ac:dyDescent="0.3">
      <c r="A3" s="194">
        <v>1</v>
      </c>
      <c r="B3" s="227" t="s">
        <v>26</v>
      </c>
      <c r="C3" s="228"/>
      <c r="D3" s="228"/>
      <c r="E3" s="229"/>
      <c r="F3" s="167" t="s">
        <v>432</v>
      </c>
      <c r="G3" s="194" t="s">
        <v>7</v>
      </c>
      <c r="H3" s="159">
        <f>D21</f>
        <v>157.39999999999998</v>
      </c>
    </row>
    <row r="4" spans="1:8" ht="18" x14ac:dyDescent="0.35">
      <c r="A4" s="217"/>
      <c r="B4" s="217"/>
      <c r="C4" s="217"/>
      <c r="D4" s="217"/>
      <c r="E4" s="217"/>
      <c r="F4" s="217"/>
      <c r="G4" s="217"/>
      <c r="H4" s="217"/>
    </row>
    <row r="5" spans="1:8" ht="18" x14ac:dyDescent="0.3">
      <c r="A5" s="163" t="s">
        <v>0</v>
      </c>
      <c r="B5" s="163" t="s">
        <v>367</v>
      </c>
      <c r="C5" s="163" t="s">
        <v>36</v>
      </c>
      <c r="D5" s="163" t="s">
        <v>398</v>
      </c>
      <c r="E5" s="234"/>
      <c r="F5" s="234"/>
      <c r="G5" s="234"/>
      <c r="H5" s="234"/>
    </row>
    <row r="6" spans="1:8" ht="18" x14ac:dyDescent="0.3">
      <c r="A6" s="163">
        <v>1</v>
      </c>
      <c r="B6" s="163" t="s">
        <v>396</v>
      </c>
      <c r="C6" s="183" t="s">
        <v>382</v>
      </c>
      <c r="D6" s="163">
        <v>3.14</v>
      </c>
      <c r="E6" s="234"/>
      <c r="F6" s="234"/>
      <c r="G6" s="234"/>
      <c r="H6" s="234"/>
    </row>
    <row r="7" spans="1:8" ht="18" x14ac:dyDescent="0.3">
      <c r="A7" s="163">
        <v>2</v>
      </c>
      <c r="B7" s="163" t="s">
        <v>380</v>
      </c>
      <c r="C7" s="183" t="s">
        <v>382</v>
      </c>
      <c r="D7" s="163">
        <v>5.25</v>
      </c>
      <c r="E7" s="234"/>
      <c r="F7" s="234"/>
      <c r="G7" s="234"/>
      <c r="H7" s="234"/>
    </row>
    <row r="8" spans="1:8" ht="18" x14ac:dyDescent="0.3">
      <c r="A8" s="163">
        <v>3</v>
      </c>
      <c r="B8" s="163" t="s">
        <v>68</v>
      </c>
      <c r="C8" s="183" t="s">
        <v>397</v>
      </c>
      <c r="D8" s="163">
        <v>3.16</v>
      </c>
      <c r="E8" s="234"/>
      <c r="F8" s="234"/>
      <c r="G8" s="234"/>
      <c r="H8" s="234"/>
    </row>
    <row r="9" spans="1:8" ht="18" x14ac:dyDescent="0.3">
      <c r="A9" s="163">
        <v>4</v>
      </c>
      <c r="B9" s="163" t="s">
        <v>69</v>
      </c>
      <c r="C9" s="183" t="s">
        <v>397</v>
      </c>
      <c r="D9" s="163">
        <v>5.29</v>
      </c>
      <c r="E9" s="234"/>
      <c r="F9" s="234"/>
      <c r="G9" s="234"/>
      <c r="H9" s="234"/>
    </row>
    <row r="10" spans="1:8" ht="18" x14ac:dyDescent="0.3">
      <c r="A10" s="163">
        <v>5</v>
      </c>
      <c r="B10" s="163" t="s">
        <v>399</v>
      </c>
      <c r="C10" s="183" t="s">
        <v>397</v>
      </c>
      <c r="D10" s="163">
        <v>3.18</v>
      </c>
      <c r="E10" s="234"/>
      <c r="F10" s="234"/>
      <c r="G10" s="234"/>
      <c r="H10" s="234"/>
    </row>
    <row r="11" spans="1:8" ht="18" x14ac:dyDescent="0.3">
      <c r="A11" s="163">
        <v>6</v>
      </c>
      <c r="B11" s="163" t="s">
        <v>400</v>
      </c>
      <c r="C11" s="183" t="s">
        <v>397</v>
      </c>
      <c r="D11" s="163">
        <v>5.25</v>
      </c>
      <c r="E11" s="234"/>
      <c r="F11" s="234"/>
      <c r="G11" s="234"/>
      <c r="H11" s="234"/>
    </row>
    <row r="12" spans="1:8" ht="18" x14ac:dyDescent="0.3">
      <c r="A12" s="163">
        <v>7</v>
      </c>
      <c r="B12" s="163" t="s">
        <v>401</v>
      </c>
      <c r="C12" s="183" t="s">
        <v>101</v>
      </c>
      <c r="D12" s="163">
        <v>17.059999999999999</v>
      </c>
      <c r="E12" s="234"/>
      <c r="F12" s="234"/>
      <c r="G12" s="234"/>
      <c r="H12" s="234"/>
    </row>
    <row r="13" spans="1:8" ht="18" x14ac:dyDescent="0.3">
      <c r="A13" s="163">
        <v>8</v>
      </c>
      <c r="B13" s="163" t="s">
        <v>402</v>
      </c>
      <c r="C13" s="183" t="s">
        <v>101</v>
      </c>
      <c r="D13" s="163">
        <v>21.33</v>
      </c>
      <c r="E13" s="234"/>
      <c r="F13" s="234"/>
      <c r="G13" s="234"/>
      <c r="H13" s="234"/>
    </row>
    <row r="14" spans="1:8" ht="18" x14ac:dyDescent="0.3">
      <c r="A14" s="163">
        <v>9</v>
      </c>
      <c r="B14" s="163" t="s">
        <v>403</v>
      </c>
      <c r="C14" s="183" t="s">
        <v>101</v>
      </c>
      <c r="D14" s="163">
        <v>5.69</v>
      </c>
      <c r="E14" s="234"/>
      <c r="F14" s="234"/>
      <c r="G14" s="234"/>
      <c r="H14" s="234"/>
    </row>
    <row r="15" spans="1:8" ht="18" x14ac:dyDescent="0.3">
      <c r="A15" s="163">
        <v>10</v>
      </c>
      <c r="B15" s="163" t="s">
        <v>65</v>
      </c>
      <c r="C15" s="183" t="s">
        <v>101</v>
      </c>
      <c r="D15" s="163">
        <v>17.079999999999998</v>
      </c>
      <c r="E15" s="234"/>
      <c r="F15" s="234"/>
      <c r="G15" s="234"/>
      <c r="H15" s="234"/>
    </row>
    <row r="16" spans="1:8" ht="18" x14ac:dyDescent="0.3">
      <c r="A16" s="163">
        <v>11</v>
      </c>
      <c r="B16" s="163" t="s">
        <v>66</v>
      </c>
      <c r="C16" s="183" t="s">
        <v>101</v>
      </c>
      <c r="D16" s="163">
        <v>21.31</v>
      </c>
      <c r="E16" s="234"/>
      <c r="F16" s="234"/>
      <c r="G16" s="234"/>
      <c r="H16" s="234"/>
    </row>
    <row r="17" spans="1:8" ht="18" x14ac:dyDescent="0.3">
      <c r="A17" s="163">
        <v>12</v>
      </c>
      <c r="B17" s="163" t="s">
        <v>67</v>
      </c>
      <c r="C17" s="183" t="s">
        <v>101</v>
      </c>
      <c r="D17" s="163">
        <v>5.68</v>
      </c>
      <c r="E17" s="234"/>
      <c r="F17" s="234"/>
      <c r="G17" s="234"/>
      <c r="H17" s="234"/>
    </row>
    <row r="18" spans="1:8" ht="18" x14ac:dyDescent="0.3">
      <c r="A18" s="163">
        <v>13</v>
      </c>
      <c r="B18" s="163" t="s">
        <v>404</v>
      </c>
      <c r="C18" s="183" t="s">
        <v>101</v>
      </c>
      <c r="D18" s="163">
        <v>17.02</v>
      </c>
      <c r="E18" s="234"/>
      <c r="F18" s="234"/>
      <c r="G18" s="234"/>
      <c r="H18" s="234"/>
    </row>
    <row r="19" spans="1:8" ht="18" x14ac:dyDescent="0.3">
      <c r="A19" s="163">
        <v>14</v>
      </c>
      <c r="B19" s="163" t="s">
        <v>405</v>
      </c>
      <c r="C19" s="183" t="s">
        <v>101</v>
      </c>
      <c r="D19" s="163">
        <v>21.33</v>
      </c>
      <c r="E19" s="234"/>
      <c r="F19" s="234"/>
      <c r="G19" s="234"/>
      <c r="H19" s="234"/>
    </row>
    <row r="20" spans="1:8" ht="18" x14ac:dyDescent="0.3">
      <c r="A20" s="163">
        <v>15</v>
      </c>
      <c r="B20" s="163" t="s">
        <v>406</v>
      </c>
      <c r="C20" s="183" t="s">
        <v>101</v>
      </c>
      <c r="D20" s="163">
        <v>5.63</v>
      </c>
      <c r="E20" s="234"/>
      <c r="F20" s="234"/>
      <c r="G20" s="234"/>
      <c r="H20" s="234"/>
    </row>
    <row r="21" spans="1:8" ht="18" x14ac:dyDescent="0.35">
      <c r="A21" s="156"/>
      <c r="B21" s="156"/>
      <c r="C21" s="182" t="s">
        <v>364</v>
      </c>
      <c r="D21" s="163">
        <f>SUM(D6:D20)</f>
        <v>157.39999999999998</v>
      </c>
      <c r="E21" s="234"/>
      <c r="F21" s="234"/>
      <c r="G21" s="234"/>
      <c r="H21" s="234"/>
    </row>
  </sheetData>
  <mergeCells count="5">
    <mergeCell ref="A1:H1"/>
    <mergeCell ref="B2:E2"/>
    <mergeCell ref="B3:E3"/>
    <mergeCell ref="A4:H4"/>
    <mergeCell ref="E5:H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21"/>
  <sheetViews>
    <sheetView workbookViewId="0">
      <selection activeCell="B3" sqref="B3:E3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4" t="s">
        <v>358</v>
      </c>
      <c r="B2" s="224" t="s">
        <v>302</v>
      </c>
      <c r="C2" s="225"/>
      <c r="D2" s="225"/>
      <c r="E2" s="226"/>
      <c r="F2" s="167" t="s">
        <v>340</v>
      </c>
      <c r="G2" s="194" t="s">
        <v>2</v>
      </c>
      <c r="H2" s="158" t="s">
        <v>4</v>
      </c>
    </row>
    <row r="3" spans="1:8" ht="58.8" customHeight="1" x14ac:dyDescent="0.3">
      <c r="A3" s="194">
        <v>1</v>
      </c>
      <c r="B3" s="227" t="s">
        <v>14</v>
      </c>
      <c r="C3" s="228"/>
      <c r="D3" s="228"/>
      <c r="E3" s="229"/>
      <c r="F3" s="167" t="s">
        <v>432</v>
      </c>
      <c r="G3" s="194" t="s">
        <v>7</v>
      </c>
      <c r="H3" s="159">
        <f>D21</f>
        <v>157.39999999999998</v>
      </c>
    </row>
    <row r="4" spans="1:8" ht="18" x14ac:dyDescent="0.35">
      <c r="A4" s="217"/>
      <c r="B4" s="217"/>
      <c r="C4" s="217"/>
      <c r="D4" s="217"/>
      <c r="E4" s="217"/>
      <c r="F4" s="217"/>
      <c r="G4" s="217"/>
      <c r="H4" s="217"/>
    </row>
    <row r="5" spans="1:8" ht="18" x14ac:dyDescent="0.3">
      <c r="A5" s="163" t="s">
        <v>0</v>
      </c>
      <c r="B5" s="163" t="s">
        <v>367</v>
      </c>
      <c r="C5" s="163" t="s">
        <v>36</v>
      </c>
      <c r="D5" s="163" t="s">
        <v>398</v>
      </c>
      <c r="E5" s="234"/>
      <c r="F5" s="234"/>
      <c r="G5" s="234"/>
      <c r="H5" s="234"/>
    </row>
    <row r="6" spans="1:8" ht="18" x14ac:dyDescent="0.3">
      <c r="A6" s="163">
        <v>1</v>
      </c>
      <c r="B6" s="163" t="s">
        <v>396</v>
      </c>
      <c r="C6" s="183" t="s">
        <v>382</v>
      </c>
      <c r="D6" s="163">
        <v>3.14</v>
      </c>
      <c r="E6" s="234"/>
      <c r="F6" s="234"/>
      <c r="G6" s="234"/>
      <c r="H6" s="234"/>
    </row>
    <row r="7" spans="1:8" ht="18" x14ac:dyDescent="0.3">
      <c r="A7" s="163">
        <v>2</v>
      </c>
      <c r="B7" s="163" t="s">
        <v>380</v>
      </c>
      <c r="C7" s="183" t="s">
        <v>382</v>
      </c>
      <c r="D7" s="163">
        <v>5.25</v>
      </c>
      <c r="E7" s="234"/>
      <c r="F7" s="234"/>
      <c r="G7" s="234"/>
      <c r="H7" s="234"/>
    </row>
    <row r="8" spans="1:8" ht="18" x14ac:dyDescent="0.3">
      <c r="A8" s="163">
        <v>3</v>
      </c>
      <c r="B8" s="163" t="s">
        <v>68</v>
      </c>
      <c r="C8" s="183" t="s">
        <v>397</v>
      </c>
      <c r="D8" s="163">
        <v>3.16</v>
      </c>
      <c r="E8" s="234"/>
      <c r="F8" s="234"/>
      <c r="G8" s="234"/>
      <c r="H8" s="234"/>
    </row>
    <row r="9" spans="1:8" ht="18" x14ac:dyDescent="0.3">
      <c r="A9" s="163">
        <v>4</v>
      </c>
      <c r="B9" s="163" t="s">
        <v>69</v>
      </c>
      <c r="C9" s="183" t="s">
        <v>397</v>
      </c>
      <c r="D9" s="163">
        <v>5.29</v>
      </c>
      <c r="E9" s="234"/>
      <c r="F9" s="234"/>
      <c r="G9" s="234"/>
      <c r="H9" s="234"/>
    </row>
    <row r="10" spans="1:8" ht="18" x14ac:dyDescent="0.3">
      <c r="A10" s="163">
        <v>5</v>
      </c>
      <c r="B10" s="163" t="s">
        <v>399</v>
      </c>
      <c r="C10" s="183" t="s">
        <v>397</v>
      </c>
      <c r="D10" s="163">
        <v>3.18</v>
      </c>
      <c r="E10" s="234"/>
      <c r="F10" s="234"/>
      <c r="G10" s="234"/>
      <c r="H10" s="234"/>
    </row>
    <row r="11" spans="1:8" ht="18" x14ac:dyDescent="0.3">
      <c r="A11" s="163">
        <v>6</v>
      </c>
      <c r="B11" s="163" t="s">
        <v>400</v>
      </c>
      <c r="C11" s="183" t="s">
        <v>397</v>
      </c>
      <c r="D11" s="163">
        <v>5.25</v>
      </c>
      <c r="E11" s="234"/>
      <c r="F11" s="234"/>
      <c r="G11" s="234"/>
      <c r="H11" s="234"/>
    </row>
    <row r="12" spans="1:8" ht="18" x14ac:dyDescent="0.3">
      <c r="A12" s="163">
        <v>7</v>
      </c>
      <c r="B12" s="163" t="s">
        <v>401</v>
      </c>
      <c r="C12" s="183" t="s">
        <v>101</v>
      </c>
      <c r="D12" s="163">
        <v>17.059999999999999</v>
      </c>
      <c r="E12" s="234"/>
      <c r="F12" s="234"/>
      <c r="G12" s="234"/>
      <c r="H12" s="234"/>
    </row>
    <row r="13" spans="1:8" ht="18" x14ac:dyDescent="0.3">
      <c r="A13" s="163">
        <v>8</v>
      </c>
      <c r="B13" s="163" t="s">
        <v>402</v>
      </c>
      <c r="C13" s="183" t="s">
        <v>101</v>
      </c>
      <c r="D13" s="163">
        <v>21.33</v>
      </c>
      <c r="E13" s="234"/>
      <c r="F13" s="234"/>
      <c r="G13" s="234"/>
      <c r="H13" s="234"/>
    </row>
    <row r="14" spans="1:8" ht="18" x14ac:dyDescent="0.3">
      <c r="A14" s="163">
        <v>9</v>
      </c>
      <c r="B14" s="163" t="s">
        <v>403</v>
      </c>
      <c r="C14" s="183" t="s">
        <v>101</v>
      </c>
      <c r="D14" s="163">
        <v>5.69</v>
      </c>
      <c r="E14" s="234"/>
      <c r="F14" s="234"/>
      <c r="G14" s="234"/>
      <c r="H14" s="234"/>
    </row>
    <row r="15" spans="1:8" ht="18" x14ac:dyDescent="0.3">
      <c r="A15" s="163">
        <v>10</v>
      </c>
      <c r="B15" s="163" t="s">
        <v>65</v>
      </c>
      <c r="C15" s="183" t="s">
        <v>101</v>
      </c>
      <c r="D15" s="163">
        <v>17.079999999999998</v>
      </c>
      <c r="E15" s="234"/>
      <c r="F15" s="234"/>
      <c r="G15" s="234"/>
      <c r="H15" s="234"/>
    </row>
    <row r="16" spans="1:8" ht="18" x14ac:dyDescent="0.3">
      <c r="A16" s="163">
        <v>11</v>
      </c>
      <c r="B16" s="163" t="s">
        <v>66</v>
      </c>
      <c r="C16" s="183" t="s">
        <v>101</v>
      </c>
      <c r="D16" s="163">
        <v>21.31</v>
      </c>
      <c r="E16" s="234"/>
      <c r="F16" s="234"/>
      <c r="G16" s="234"/>
      <c r="H16" s="234"/>
    </row>
    <row r="17" spans="1:8" ht="18" x14ac:dyDescent="0.3">
      <c r="A17" s="163">
        <v>12</v>
      </c>
      <c r="B17" s="163" t="s">
        <v>67</v>
      </c>
      <c r="C17" s="183" t="s">
        <v>101</v>
      </c>
      <c r="D17" s="163">
        <v>5.68</v>
      </c>
      <c r="E17" s="234"/>
      <c r="F17" s="234"/>
      <c r="G17" s="234"/>
      <c r="H17" s="234"/>
    </row>
    <row r="18" spans="1:8" ht="18" x14ac:dyDescent="0.3">
      <c r="A18" s="163">
        <v>13</v>
      </c>
      <c r="B18" s="163" t="s">
        <v>404</v>
      </c>
      <c r="C18" s="183" t="s">
        <v>101</v>
      </c>
      <c r="D18" s="163">
        <v>17.02</v>
      </c>
      <c r="E18" s="234"/>
      <c r="F18" s="234"/>
      <c r="G18" s="234"/>
      <c r="H18" s="234"/>
    </row>
    <row r="19" spans="1:8" ht="18" x14ac:dyDescent="0.3">
      <c r="A19" s="163">
        <v>14</v>
      </c>
      <c r="B19" s="163" t="s">
        <v>405</v>
      </c>
      <c r="C19" s="183" t="s">
        <v>101</v>
      </c>
      <c r="D19" s="163">
        <v>21.33</v>
      </c>
      <c r="E19" s="234"/>
      <c r="F19" s="234"/>
      <c r="G19" s="234"/>
      <c r="H19" s="234"/>
    </row>
    <row r="20" spans="1:8" ht="18" x14ac:dyDescent="0.3">
      <c r="A20" s="163">
        <v>15</v>
      </c>
      <c r="B20" s="163" t="s">
        <v>406</v>
      </c>
      <c r="C20" s="183" t="s">
        <v>101</v>
      </c>
      <c r="D20" s="163">
        <v>5.63</v>
      </c>
      <c r="E20" s="234"/>
      <c r="F20" s="234"/>
      <c r="G20" s="234"/>
      <c r="H20" s="234"/>
    </row>
    <row r="21" spans="1:8" ht="18" x14ac:dyDescent="0.35">
      <c r="A21" s="156"/>
      <c r="B21" s="156"/>
      <c r="C21" s="182" t="s">
        <v>364</v>
      </c>
      <c r="D21" s="163">
        <f>SUM(D6:D20)</f>
        <v>157.39999999999998</v>
      </c>
      <c r="E21" s="234"/>
      <c r="F21" s="234"/>
      <c r="G21" s="234"/>
      <c r="H21" s="234"/>
    </row>
  </sheetData>
  <mergeCells count="5">
    <mergeCell ref="A1:H1"/>
    <mergeCell ref="B2:E2"/>
    <mergeCell ref="B3:E3"/>
    <mergeCell ref="A4:H4"/>
    <mergeCell ref="E5:H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21"/>
  <sheetViews>
    <sheetView workbookViewId="0">
      <selection activeCell="E5" sqref="E5:H21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4" t="s">
        <v>358</v>
      </c>
      <c r="B2" s="224" t="s">
        <v>302</v>
      </c>
      <c r="C2" s="225"/>
      <c r="D2" s="225"/>
      <c r="E2" s="226"/>
      <c r="F2" s="167" t="s">
        <v>340</v>
      </c>
      <c r="G2" s="194" t="s">
        <v>2</v>
      </c>
      <c r="H2" s="158" t="s">
        <v>4</v>
      </c>
    </row>
    <row r="3" spans="1:8" ht="58.8" customHeight="1" x14ac:dyDescent="0.3">
      <c r="A3" s="194">
        <v>1</v>
      </c>
      <c r="B3" s="227" t="s">
        <v>102</v>
      </c>
      <c r="C3" s="228"/>
      <c r="D3" s="228"/>
      <c r="E3" s="229"/>
      <c r="F3" s="167" t="s">
        <v>432</v>
      </c>
      <c r="G3" s="194" t="s">
        <v>7</v>
      </c>
      <c r="H3" s="159">
        <f>D21</f>
        <v>157.39999999999998</v>
      </c>
    </row>
    <row r="4" spans="1:8" ht="18" x14ac:dyDescent="0.35">
      <c r="A4" s="217"/>
      <c r="B4" s="217"/>
      <c r="C4" s="217"/>
      <c r="D4" s="217"/>
      <c r="E4" s="217"/>
      <c r="F4" s="217"/>
      <c r="G4" s="217"/>
      <c r="H4" s="217"/>
    </row>
    <row r="5" spans="1:8" ht="18" x14ac:dyDescent="0.3">
      <c r="A5" s="163" t="s">
        <v>0</v>
      </c>
      <c r="B5" s="163" t="s">
        <v>367</v>
      </c>
      <c r="C5" s="163" t="s">
        <v>36</v>
      </c>
      <c r="D5" s="163" t="s">
        <v>398</v>
      </c>
      <c r="E5" s="234"/>
      <c r="F5" s="234"/>
      <c r="G5" s="234"/>
      <c r="H5" s="234"/>
    </row>
    <row r="6" spans="1:8" ht="18" x14ac:dyDescent="0.3">
      <c r="A6" s="163">
        <v>1</v>
      </c>
      <c r="B6" s="163" t="s">
        <v>396</v>
      </c>
      <c r="C6" s="183" t="s">
        <v>382</v>
      </c>
      <c r="D6" s="163">
        <v>3.14</v>
      </c>
      <c r="E6" s="234"/>
      <c r="F6" s="234"/>
      <c r="G6" s="234"/>
      <c r="H6" s="234"/>
    </row>
    <row r="7" spans="1:8" ht="18" x14ac:dyDescent="0.3">
      <c r="A7" s="163">
        <v>2</v>
      </c>
      <c r="B7" s="163" t="s">
        <v>380</v>
      </c>
      <c r="C7" s="183" t="s">
        <v>382</v>
      </c>
      <c r="D7" s="163">
        <v>5.25</v>
      </c>
      <c r="E7" s="234"/>
      <c r="F7" s="234"/>
      <c r="G7" s="234"/>
      <c r="H7" s="234"/>
    </row>
    <row r="8" spans="1:8" ht="18" x14ac:dyDescent="0.3">
      <c r="A8" s="163">
        <v>3</v>
      </c>
      <c r="B8" s="163" t="s">
        <v>68</v>
      </c>
      <c r="C8" s="183" t="s">
        <v>397</v>
      </c>
      <c r="D8" s="163">
        <v>3.16</v>
      </c>
      <c r="E8" s="234"/>
      <c r="F8" s="234"/>
      <c r="G8" s="234"/>
      <c r="H8" s="234"/>
    </row>
    <row r="9" spans="1:8" ht="18" x14ac:dyDescent="0.3">
      <c r="A9" s="163">
        <v>4</v>
      </c>
      <c r="B9" s="163" t="s">
        <v>69</v>
      </c>
      <c r="C9" s="183" t="s">
        <v>397</v>
      </c>
      <c r="D9" s="163">
        <v>5.29</v>
      </c>
      <c r="E9" s="234"/>
      <c r="F9" s="234"/>
      <c r="G9" s="234"/>
      <c r="H9" s="234"/>
    </row>
    <row r="10" spans="1:8" ht="18" x14ac:dyDescent="0.3">
      <c r="A10" s="163">
        <v>5</v>
      </c>
      <c r="B10" s="163" t="s">
        <v>399</v>
      </c>
      <c r="C10" s="183" t="s">
        <v>397</v>
      </c>
      <c r="D10" s="163">
        <v>3.18</v>
      </c>
      <c r="E10" s="234"/>
      <c r="F10" s="234"/>
      <c r="G10" s="234"/>
      <c r="H10" s="234"/>
    </row>
    <row r="11" spans="1:8" ht="18" x14ac:dyDescent="0.3">
      <c r="A11" s="163">
        <v>6</v>
      </c>
      <c r="B11" s="163" t="s">
        <v>400</v>
      </c>
      <c r="C11" s="183" t="s">
        <v>397</v>
      </c>
      <c r="D11" s="163">
        <v>5.25</v>
      </c>
      <c r="E11" s="234"/>
      <c r="F11" s="234"/>
      <c r="G11" s="234"/>
      <c r="H11" s="234"/>
    </row>
    <row r="12" spans="1:8" ht="18" x14ac:dyDescent="0.3">
      <c r="A12" s="163">
        <v>7</v>
      </c>
      <c r="B12" s="163" t="s">
        <v>401</v>
      </c>
      <c r="C12" s="183" t="s">
        <v>101</v>
      </c>
      <c r="D12" s="163">
        <v>17.059999999999999</v>
      </c>
      <c r="E12" s="234"/>
      <c r="F12" s="234"/>
      <c r="G12" s="234"/>
      <c r="H12" s="234"/>
    </row>
    <row r="13" spans="1:8" ht="18" x14ac:dyDescent="0.3">
      <c r="A13" s="163">
        <v>8</v>
      </c>
      <c r="B13" s="163" t="s">
        <v>402</v>
      </c>
      <c r="C13" s="183" t="s">
        <v>101</v>
      </c>
      <c r="D13" s="163">
        <v>21.33</v>
      </c>
      <c r="E13" s="234"/>
      <c r="F13" s="234"/>
      <c r="G13" s="234"/>
      <c r="H13" s="234"/>
    </row>
    <row r="14" spans="1:8" ht="18" x14ac:dyDescent="0.3">
      <c r="A14" s="163">
        <v>9</v>
      </c>
      <c r="B14" s="163" t="s">
        <v>403</v>
      </c>
      <c r="C14" s="183" t="s">
        <v>101</v>
      </c>
      <c r="D14" s="163">
        <v>5.69</v>
      </c>
      <c r="E14" s="234"/>
      <c r="F14" s="234"/>
      <c r="G14" s="234"/>
      <c r="H14" s="234"/>
    </row>
    <row r="15" spans="1:8" ht="18" x14ac:dyDescent="0.3">
      <c r="A15" s="163">
        <v>10</v>
      </c>
      <c r="B15" s="163" t="s">
        <v>65</v>
      </c>
      <c r="C15" s="183" t="s">
        <v>101</v>
      </c>
      <c r="D15" s="163">
        <v>17.079999999999998</v>
      </c>
      <c r="E15" s="234"/>
      <c r="F15" s="234"/>
      <c r="G15" s="234"/>
      <c r="H15" s="234"/>
    </row>
    <row r="16" spans="1:8" ht="18" x14ac:dyDescent="0.3">
      <c r="A16" s="163">
        <v>11</v>
      </c>
      <c r="B16" s="163" t="s">
        <v>66</v>
      </c>
      <c r="C16" s="183" t="s">
        <v>101</v>
      </c>
      <c r="D16" s="163">
        <v>21.31</v>
      </c>
      <c r="E16" s="234"/>
      <c r="F16" s="234"/>
      <c r="G16" s="234"/>
      <c r="H16" s="234"/>
    </row>
    <row r="17" spans="1:8" ht="18" x14ac:dyDescent="0.3">
      <c r="A17" s="163">
        <v>12</v>
      </c>
      <c r="B17" s="163" t="s">
        <v>67</v>
      </c>
      <c r="C17" s="183" t="s">
        <v>101</v>
      </c>
      <c r="D17" s="163">
        <v>5.68</v>
      </c>
      <c r="E17" s="234"/>
      <c r="F17" s="234"/>
      <c r="G17" s="234"/>
      <c r="H17" s="234"/>
    </row>
    <row r="18" spans="1:8" ht="18" x14ac:dyDescent="0.3">
      <c r="A18" s="163">
        <v>13</v>
      </c>
      <c r="B18" s="163" t="s">
        <v>404</v>
      </c>
      <c r="C18" s="183" t="s">
        <v>101</v>
      </c>
      <c r="D18" s="163">
        <v>17.02</v>
      </c>
      <c r="E18" s="234"/>
      <c r="F18" s="234"/>
      <c r="G18" s="234"/>
      <c r="H18" s="234"/>
    </row>
    <row r="19" spans="1:8" ht="18" x14ac:dyDescent="0.3">
      <c r="A19" s="163">
        <v>14</v>
      </c>
      <c r="B19" s="163" t="s">
        <v>405</v>
      </c>
      <c r="C19" s="183" t="s">
        <v>101</v>
      </c>
      <c r="D19" s="163">
        <v>21.33</v>
      </c>
      <c r="E19" s="234"/>
      <c r="F19" s="234"/>
      <c r="G19" s="234"/>
      <c r="H19" s="234"/>
    </row>
    <row r="20" spans="1:8" ht="18" x14ac:dyDescent="0.3">
      <c r="A20" s="163">
        <v>15</v>
      </c>
      <c r="B20" s="163" t="s">
        <v>406</v>
      </c>
      <c r="C20" s="183" t="s">
        <v>101</v>
      </c>
      <c r="D20" s="163">
        <v>5.63</v>
      </c>
      <c r="E20" s="234"/>
      <c r="F20" s="234"/>
      <c r="G20" s="234"/>
      <c r="H20" s="234"/>
    </row>
    <row r="21" spans="1:8" ht="18" x14ac:dyDescent="0.35">
      <c r="A21" s="156"/>
      <c r="B21" s="156"/>
      <c r="C21" s="182" t="s">
        <v>364</v>
      </c>
      <c r="D21" s="163">
        <f>SUM(D6:D20)</f>
        <v>157.39999999999998</v>
      </c>
      <c r="E21" s="234"/>
      <c r="F21" s="234"/>
      <c r="G21" s="234"/>
      <c r="H21" s="234"/>
    </row>
  </sheetData>
  <mergeCells count="5">
    <mergeCell ref="A1:H1"/>
    <mergeCell ref="B2:E2"/>
    <mergeCell ref="B3:E3"/>
    <mergeCell ref="A4:H4"/>
    <mergeCell ref="E5:H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25"/>
  <sheetViews>
    <sheetView workbookViewId="0">
      <selection activeCell="E6" sqref="E6:H25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4" t="s">
        <v>358</v>
      </c>
      <c r="B2" s="224" t="s">
        <v>302</v>
      </c>
      <c r="C2" s="225"/>
      <c r="D2" s="225"/>
      <c r="E2" s="226"/>
      <c r="F2" s="167" t="s">
        <v>340</v>
      </c>
      <c r="G2" s="194" t="s">
        <v>2</v>
      </c>
      <c r="H2" s="158" t="s">
        <v>4</v>
      </c>
    </row>
    <row r="3" spans="1:8" ht="58.8" customHeight="1" x14ac:dyDescent="0.3">
      <c r="A3" s="194">
        <v>1</v>
      </c>
      <c r="B3" s="227" t="s">
        <v>394</v>
      </c>
      <c r="C3" s="228"/>
      <c r="D3" s="228"/>
      <c r="E3" s="229"/>
      <c r="F3" s="167" t="s">
        <v>395</v>
      </c>
      <c r="G3" s="194" t="s">
        <v>7</v>
      </c>
      <c r="H3" s="159">
        <f>D13</f>
        <v>25.27</v>
      </c>
    </row>
    <row r="4" spans="1:8" ht="58.8" customHeight="1" x14ac:dyDescent="0.3">
      <c r="A4" s="194">
        <v>2</v>
      </c>
      <c r="B4" s="227" t="s">
        <v>366</v>
      </c>
      <c r="C4" s="228"/>
      <c r="D4" s="228"/>
      <c r="E4" s="229"/>
      <c r="F4" s="167" t="s">
        <v>431</v>
      </c>
      <c r="G4" s="194" t="s">
        <v>7</v>
      </c>
      <c r="H4" s="159">
        <f>D25</f>
        <v>132.13</v>
      </c>
    </row>
    <row r="5" spans="1:8" ht="18" x14ac:dyDescent="0.35">
      <c r="A5" s="217"/>
      <c r="B5" s="217"/>
      <c r="C5" s="217"/>
      <c r="D5" s="217"/>
      <c r="E5" s="217"/>
      <c r="F5" s="217"/>
      <c r="G5" s="217"/>
      <c r="H5" s="217"/>
    </row>
    <row r="6" spans="1:8" ht="18" x14ac:dyDescent="0.3">
      <c r="A6" s="163" t="s">
        <v>360</v>
      </c>
      <c r="B6" s="163" t="s">
        <v>367</v>
      </c>
      <c r="C6" s="163" t="s">
        <v>36</v>
      </c>
      <c r="D6" s="163" t="s">
        <v>398</v>
      </c>
      <c r="E6" s="234"/>
      <c r="F6" s="234"/>
      <c r="G6" s="234"/>
      <c r="H6" s="234"/>
    </row>
    <row r="7" spans="1:8" ht="18" x14ac:dyDescent="0.3">
      <c r="A7" s="163">
        <v>1</v>
      </c>
      <c r="B7" s="163" t="s">
        <v>396</v>
      </c>
      <c r="C7" s="183" t="s">
        <v>382</v>
      </c>
      <c r="D7" s="163">
        <v>3.14</v>
      </c>
      <c r="E7" s="234"/>
      <c r="F7" s="234"/>
      <c r="G7" s="234"/>
      <c r="H7" s="234"/>
    </row>
    <row r="8" spans="1:8" ht="18" x14ac:dyDescent="0.3">
      <c r="A8" s="163">
        <v>1</v>
      </c>
      <c r="B8" s="163" t="s">
        <v>380</v>
      </c>
      <c r="C8" s="183" t="s">
        <v>382</v>
      </c>
      <c r="D8" s="163">
        <v>5.25</v>
      </c>
      <c r="E8" s="234"/>
      <c r="F8" s="234"/>
      <c r="G8" s="234"/>
      <c r="H8" s="234"/>
    </row>
    <row r="9" spans="1:8" ht="18" x14ac:dyDescent="0.3">
      <c r="A9" s="163">
        <v>1</v>
      </c>
      <c r="B9" s="163" t="s">
        <v>68</v>
      </c>
      <c r="C9" s="183" t="s">
        <v>397</v>
      </c>
      <c r="D9" s="163">
        <v>3.16</v>
      </c>
      <c r="E9" s="234"/>
      <c r="F9" s="234"/>
      <c r="G9" s="234"/>
      <c r="H9" s="234"/>
    </row>
    <row r="10" spans="1:8" ht="18" x14ac:dyDescent="0.3">
      <c r="A10" s="163">
        <v>1</v>
      </c>
      <c r="B10" s="163" t="s">
        <v>69</v>
      </c>
      <c r="C10" s="183" t="s">
        <v>397</v>
      </c>
      <c r="D10" s="163">
        <v>5.29</v>
      </c>
      <c r="E10" s="234"/>
      <c r="F10" s="234"/>
      <c r="G10" s="234"/>
      <c r="H10" s="234"/>
    </row>
    <row r="11" spans="1:8" ht="18" x14ac:dyDescent="0.3">
      <c r="A11" s="163">
        <v>1</v>
      </c>
      <c r="B11" s="163" t="s">
        <v>399</v>
      </c>
      <c r="C11" s="183" t="s">
        <v>397</v>
      </c>
      <c r="D11" s="163">
        <v>3.18</v>
      </c>
      <c r="E11" s="234"/>
      <c r="F11" s="234"/>
      <c r="G11" s="234"/>
      <c r="H11" s="234"/>
    </row>
    <row r="12" spans="1:8" ht="18" x14ac:dyDescent="0.3">
      <c r="A12" s="163">
        <v>1</v>
      </c>
      <c r="B12" s="163" t="s">
        <v>400</v>
      </c>
      <c r="C12" s="183" t="s">
        <v>397</v>
      </c>
      <c r="D12" s="163">
        <v>5.25</v>
      </c>
      <c r="E12" s="234"/>
      <c r="F12" s="234"/>
      <c r="G12" s="234"/>
      <c r="H12" s="234"/>
    </row>
    <row r="13" spans="1:8" ht="18" x14ac:dyDescent="0.35">
      <c r="A13" s="156"/>
      <c r="B13" s="156"/>
      <c r="C13" s="182" t="s">
        <v>364</v>
      </c>
      <c r="D13" s="163">
        <f>SUM(D7:D12)</f>
        <v>25.27</v>
      </c>
      <c r="E13" s="234"/>
      <c r="F13" s="234"/>
      <c r="G13" s="234"/>
      <c r="H13" s="234"/>
    </row>
    <row r="14" spans="1:8" ht="18" x14ac:dyDescent="0.35">
      <c r="A14" s="240"/>
      <c r="B14" s="240"/>
      <c r="C14" s="240"/>
      <c r="D14" s="240"/>
      <c r="E14" s="234"/>
      <c r="F14" s="234"/>
      <c r="G14" s="234"/>
      <c r="H14" s="234"/>
    </row>
    <row r="15" spans="1:8" ht="18" x14ac:dyDescent="0.3">
      <c r="A15" s="163" t="s">
        <v>360</v>
      </c>
      <c r="B15" s="163" t="s">
        <v>367</v>
      </c>
      <c r="C15" s="163" t="s">
        <v>36</v>
      </c>
      <c r="D15" s="163" t="s">
        <v>398</v>
      </c>
      <c r="E15" s="234"/>
      <c r="F15" s="234"/>
      <c r="G15" s="234"/>
      <c r="H15" s="234"/>
    </row>
    <row r="16" spans="1:8" ht="18" x14ac:dyDescent="0.3">
      <c r="A16" s="163">
        <v>1</v>
      </c>
      <c r="B16" s="163" t="s">
        <v>401</v>
      </c>
      <c r="C16" s="183" t="s">
        <v>101</v>
      </c>
      <c r="D16" s="163">
        <v>17.059999999999999</v>
      </c>
      <c r="E16" s="234"/>
      <c r="F16" s="234"/>
      <c r="G16" s="234"/>
      <c r="H16" s="234"/>
    </row>
    <row r="17" spans="1:8" ht="18" x14ac:dyDescent="0.3">
      <c r="A17" s="163">
        <v>1</v>
      </c>
      <c r="B17" s="163" t="s">
        <v>402</v>
      </c>
      <c r="C17" s="183" t="s">
        <v>101</v>
      </c>
      <c r="D17" s="163">
        <v>21.33</v>
      </c>
      <c r="E17" s="234"/>
      <c r="F17" s="234"/>
      <c r="G17" s="234"/>
      <c r="H17" s="234"/>
    </row>
    <row r="18" spans="1:8" ht="18" x14ac:dyDescent="0.3">
      <c r="A18" s="163">
        <v>1</v>
      </c>
      <c r="B18" s="163" t="s">
        <v>403</v>
      </c>
      <c r="C18" s="183" t="s">
        <v>101</v>
      </c>
      <c r="D18" s="163">
        <v>5.69</v>
      </c>
      <c r="E18" s="234"/>
      <c r="F18" s="234"/>
      <c r="G18" s="234"/>
      <c r="H18" s="234"/>
    </row>
    <row r="19" spans="1:8" ht="18" x14ac:dyDescent="0.3">
      <c r="A19" s="163">
        <v>1</v>
      </c>
      <c r="B19" s="163" t="s">
        <v>65</v>
      </c>
      <c r="C19" s="183" t="s">
        <v>101</v>
      </c>
      <c r="D19" s="163">
        <v>17.079999999999998</v>
      </c>
      <c r="E19" s="234"/>
      <c r="F19" s="234"/>
      <c r="G19" s="234"/>
      <c r="H19" s="234"/>
    </row>
    <row r="20" spans="1:8" ht="18" x14ac:dyDescent="0.3">
      <c r="A20" s="163">
        <v>1</v>
      </c>
      <c r="B20" s="163" t="s">
        <v>66</v>
      </c>
      <c r="C20" s="183" t="s">
        <v>101</v>
      </c>
      <c r="D20" s="163">
        <v>21.31</v>
      </c>
      <c r="E20" s="234"/>
      <c r="F20" s="234"/>
      <c r="G20" s="234"/>
      <c r="H20" s="234"/>
    </row>
    <row r="21" spans="1:8" ht="18" x14ac:dyDescent="0.3">
      <c r="A21" s="163">
        <v>1</v>
      </c>
      <c r="B21" s="163" t="s">
        <v>67</v>
      </c>
      <c r="C21" s="183" t="s">
        <v>101</v>
      </c>
      <c r="D21" s="163">
        <v>5.68</v>
      </c>
      <c r="E21" s="234"/>
      <c r="F21" s="234"/>
      <c r="G21" s="234"/>
      <c r="H21" s="234"/>
    </row>
    <row r="22" spans="1:8" ht="18" x14ac:dyDescent="0.3">
      <c r="A22" s="163">
        <v>1</v>
      </c>
      <c r="B22" s="163" t="s">
        <v>404</v>
      </c>
      <c r="C22" s="183" t="s">
        <v>101</v>
      </c>
      <c r="D22" s="163">
        <v>17.02</v>
      </c>
      <c r="E22" s="234"/>
      <c r="F22" s="234"/>
      <c r="G22" s="234"/>
      <c r="H22" s="234"/>
    </row>
    <row r="23" spans="1:8" ht="18" x14ac:dyDescent="0.3">
      <c r="A23" s="163">
        <v>1</v>
      </c>
      <c r="B23" s="163" t="s">
        <v>405</v>
      </c>
      <c r="C23" s="183" t="s">
        <v>101</v>
      </c>
      <c r="D23" s="163">
        <v>21.33</v>
      </c>
      <c r="E23" s="234"/>
      <c r="F23" s="234"/>
      <c r="G23" s="234"/>
      <c r="H23" s="234"/>
    </row>
    <row r="24" spans="1:8" ht="18" x14ac:dyDescent="0.3">
      <c r="A24" s="163">
        <v>1</v>
      </c>
      <c r="B24" s="163" t="s">
        <v>406</v>
      </c>
      <c r="C24" s="183" t="s">
        <v>101</v>
      </c>
      <c r="D24" s="163">
        <v>5.63</v>
      </c>
      <c r="E24" s="234"/>
      <c r="F24" s="234"/>
      <c r="G24" s="234"/>
      <c r="H24" s="234"/>
    </row>
    <row r="25" spans="1:8" ht="18" x14ac:dyDescent="0.35">
      <c r="A25" s="156"/>
      <c r="B25" s="156"/>
      <c r="C25" s="182" t="s">
        <v>364</v>
      </c>
      <c r="D25" s="163">
        <f>SUM(D16:D24)</f>
        <v>132.13</v>
      </c>
      <c r="E25" s="234"/>
      <c r="F25" s="234"/>
      <c r="G25" s="234"/>
      <c r="H25" s="234"/>
    </row>
  </sheetData>
  <mergeCells count="7">
    <mergeCell ref="E6:H25"/>
    <mergeCell ref="A14:D14"/>
    <mergeCell ref="A1:H1"/>
    <mergeCell ref="B2:E2"/>
    <mergeCell ref="B3:E3"/>
    <mergeCell ref="B4:E4"/>
    <mergeCell ref="A5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59"/>
  <sheetViews>
    <sheetView workbookViewId="0">
      <selection activeCell="A26" sqref="A26:XFD26"/>
    </sheetView>
  </sheetViews>
  <sheetFormatPr defaultRowHeight="14.4" x14ac:dyDescent="0.3"/>
  <cols>
    <col min="4" max="4" width="14.21875" customWidth="1"/>
    <col min="5" max="5" width="14.5546875" customWidth="1"/>
    <col min="6" max="6" width="23" customWidth="1"/>
    <col min="7" max="7" width="10.44140625" customWidth="1"/>
  </cols>
  <sheetData>
    <row r="1" spans="1:8" ht="18" x14ac:dyDescent="0.3">
      <c r="A1" s="219" t="s">
        <v>435</v>
      </c>
      <c r="B1" s="219"/>
      <c r="C1" s="219"/>
      <c r="D1" s="219"/>
      <c r="E1" s="219"/>
      <c r="F1" s="219"/>
      <c r="G1" s="219"/>
      <c r="H1" s="219"/>
    </row>
    <row r="2" spans="1:8" ht="18" x14ac:dyDescent="0.3">
      <c r="A2" s="192" t="s">
        <v>358</v>
      </c>
      <c r="B2" s="224" t="s">
        <v>302</v>
      </c>
      <c r="C2" s="225"/>
      <c r="D2" s="225"/>
      <c r="E2" s="226"/>
      <c r="F2" s="167" t="s">
        <v>340</v>
      </c>
      <c r="G2" s="192" t="s">
        <v>2</v>
      </c>
      <c r="H2" s="158" t="s">
        <v>4</v>
      </c>
    </row>
    <row r="3" spans="1:8" ht="58.8" customHeight="1" x14ac:dyDescent="0.3">
      <c r="A3" s="192">
        <v>1</v>
      </c>
      <c r="B3" s="227" t="s">
        <v>394</v>
      </c>
      <c r="C3" s="228"/>
      <c r="D3" s="228"/>
      <c r="E3" s="229"/>
      <c r="F3" s="167" t="s">
        <v>395</v>
      </c>
      <c r="G3" s="192" t="s">
        <v>7</v>
      </c>
      <c r="H3" s="159">
        <f>D13</f>
        <v>25.27</v>
      </c>
    </row>
    <row r="4" spans="1:8" ht="58.8" customHeight="1" x14ac:dyDescent="0.3">
      <c r="A4" s="192">
        <v>2</v>
      </c>
      <c r="B4" s="227" t="s">
        <v>366</v>
      </c>
      <c r="C4" s="228"/>
      <c r="D4" s="228"/>
      <c r="E4" s="229"/>
      <c r="F4" s="167" t="s">
        <v>431</v>
      </c>
      <c r="G4" s="192" t="s">
        <v>7</v>
      </c>
      <c r="H4" s="159">
        <f>D25</f>
        <v>132.13</v>
      </c>
    </row>
    <row r="5" spans="1:8" ht="18" x14ac:dyDescent="0.35">
      <c r="A5" s="217"/>
      <c r="B5" s="217"/>
      <c r="C5" s="217"/>
      <c r="D5" s="217"/>
      <c r="E5" s="217"/>
      <c r="F5" s="217"/>
      <c r="G5" s="217"/>
      <c r="H5" s="217"/>
    </row>
    <row r="6" spans="1:8" ht="18" x14ac:dyDescent="0.3">
      <c r="A6" s="163" t="s">
        <v>360</v>
      </c>
      <c r="B6" s="163" t="s">
        <v>367</v>
      </c>
      <c r="C6" s="163" t="s">
        <v>36</v>
      </c>
      <c r="D6" s="163" t="s">
        <v>398</v>
      </c>
      <c r="E6" s="234"/>
      <c r="F6" s="234"/>
      <c r="G6" s="234"/>
      <c r="H6" s="234"/>
    </row>
    <row r="7" spans="1:8" ht="18" x14ac:dyDescent="0.3">
      <c r="A7" s="163">
        <v>1</v>
      </c>
      <c r="B7" s="163" t="s">
        <v>396</v>
      </c>
      <c r="C7" s="183" t="s">
        <v>382</v>
      </c>
      <c r="D7" s="163">
        <v>3.14</v>
      </c>
      <c r="E7" s="234"/>
      <c r="F7" s="234"/>
      <c r="G7" s="234"/>
      <c r="H7" s="234"/>
    </row>
    <row r="8" spans="1:8" ht="18" x14ac:dyDescent="0.3">
      <c r="A8" s="163">
        <v>1</v>
      </c>
      <c r="B8" s="163" t="s">
        <v>380</v>
      </c>
      <c r="C8" s="183" t="s">
        <v>382</v>
      </c>
      <c r="D8" s="163">
        <v>5.25</v>
      </c>
      <c r="E8" s="234"/>
      <c r="F8" s="234"/>
      <c r="G8" s="234"/>
      <c r="H8" s="234"/>
    </row>
    <row r="9" spans="1:8" ht="18" x14ac:dyDescent="0.3">
      <c r="A9" s="163">
        <v>1</v>
      </c>
      <c r="B9" s="163" t="s">
        <v>68</v>
      </c>
      <c r="C9" s="183" t="s">
        <v>397</v>
      </c>
      <c r="D9" s="163">
        <v>3.16</v>
      </c>
      <c r="E9" s="234"/>
      <c r="F9" s="234"/>
      <c r="G9" s="234"/>
      <c r="H9" s="234"/>
    </row>
    <row r="10" spans="1:8" ht="18" x14ac:dyDescent="0.3">
      <c r="A10" s="163">
        <v>1</v>
      </c>
      <c r="B10" s="163" t="s">
        <v>69</v>
      </c>
      <c r="C10" s="183" t="s">
        <v>397</v>
      </c>
      <c r="D10" s="163">
        <v>5.29</v>
      </c>
      <c r="E10" s="234"/>
      <c r="F10" s="234"/>
      <c r="G10" s="234"/>
      <c r="H10" s="234"/>
    </row>
    <row r="11" spans="1:8" ht="18" x14ac:dyDescent="0.3">
      <c r="A11" s="163">
        <v>1</v>
      </c>
      <c r="B11" s="163" t="s">
        <v>399</v>
      </c>
      <c r="C11" s="183" t="s">
        <v>397</v>
      </c>
      <c r="D11" s="163">
        <v>3.18</v>
      </c>
      <c r="E11" s="234"/>
      <c r="F11" s="234"/>
      <c r="G11" s="234"/>
      <c r="H11" s="234"/>
    </row>
    <row r="12" spans="1:8" ht="18" x14ac:dyDescent="0.3">
      <c r="A12" s="163">
        <v>1</v>
      </c>
      <c r="B12" s="163" t="s">
        <v>400</v>
      </c>
      <c r="C12" s="183" t="s">
        <v>397</v>
      </c>
      <c r="D12" s="163">
        <v>5.25</v>
      </c>
      <c r="E12" s="234"/>
      <c r="F12" s="234"/>
      <c r="G12" s="234"/>
      <c r="H12" s="234"/>
    </row>
    <row r="13" spans="1:8" ht="18" x14ac:dyDescent="0.35">
      <c r="A13" s="156"/>
      <c r="B13" s="156"/>
      <c r="C13" s="182" t="s">
        <v>364</v>
      </c>
      <c r="D13" s="163">
        <f>SUM(D7:D12)</f>
        <v>25.27</v>
      </c>
      <c r="E13" s="234"/>
      <c r="F13" s="234"/>
      <c r="G13" s="234"/>
      <c r="H13" s="234"/>
    </row>
    <row r="14" spans="1:8" ht="18" x14ac:dyDescent="0.35">
      <c r="A14" s="240"/>
      <c r="B14" s="240"/>
      <c r="C14" s="240"/>
      <c r="D14" s="240"/>
      <c r="E14" s="234"/>
      <c r="F14" s="234"/>
      <c r="G14" s="234"/>
      <c r="H14" s="234"/>
    </row>
    <row r="15" spans="1:8" ht="18" x14ac:dyDescent="0.3">
      <c r="A15" s="163" t="s">
        <v>360</v>
      </c>
      <c r="B15" s="163" t="s">
        <v>367</v>
      </c>
      <c r="C15" s="163" t="s">
        <v>36</v>
      </c>
      <c r="D15" s="163" t="s">
        <v>398</v>
      </c>
      <c r="E15" s="234"/>
      <c r="F15" s="234"/>
      <c r="G15" s="234"/>
      <c r="H15" s="234"/>
    </row>
    <row r="16" spans="1:8" ht="18" x14ac:dyDescent="0.3">
      <c r="A16" s="163">
        <v>1</v>
      </c>
      <c r="B16" s="163" t="s">
        <v>401</v>
      </c>
      <c r="C16" s="183" t="s">
        <v>101</v>
      </c>
      <c r="D16" s="163">
        <v>17.059999999999999</v>
      </c>
      <c r="E16" s="234"/>
      <c r="F16" s="234"/>
      <c r="G16" s="234"/>
      <c r="H16" s="234"/>
    </row>
    <row r="17" spans="1:10" ht="18" x14ac:dyDescent="0.3">
      <c r="A17" s="163">
        <v>1</v>
      </c>
      <c r="B17" s="163" t="s">
        <v>402</v>
      </c>
      <c r="C17" s="183" t="s">
        <v>101</v>
      </c>
      <c r="D17" s="163">
        <v>21.33</v>
      </c>
      <c r="E17" s="234"/>
      <c r="F17" s="234"/>
      <c r="G17" s="234"/>
      <c r="H17" s="234"/>
    </row>
    <row r="18" spans="1:10" ht="18" x14ac:dyDescent="0.3">
      <c r="A18" s="163">
        <v>1</v>
      </c>
      <c r="B18" s="163" t="s">
        <v>403</v>
      </c>
      <c r="C18" s="183" t="s">
        <v>101</v>
      </c>
      <c r="D18" s="163">
        <v>5.69</v>
      </c>
      <c r="E18" s="234"/>
      <c r="F18" s="234"/>
      <c r="G18" s="234"/>
      <c r="H18" s="234"/>
    </row>
    <row r="19" spans="1:10" ht="18" x14ac:dyDescent="0.3">
      <c r="A19" s="163">
        <v>1</v>
      </c>
      <c r="B19" s="163" t="s">
        <v>65</v>
      </c>
      <c r="C19" s="183" t="s">
        <v>101</v>
      </c>
      <c r="D19" s="163">
        <v>17.079999999999998</v>
      </c>
      <c r="E19" s="234"/>
      <c r="F19" s="234"/>
      <c r="G19" s="234"/>
      <c r="H19" s="234"/>
    </row>
    <row r="20" spans="1:10" ht="18" x14ac:dyDescent="0.3">
      <c r="A20" s="163">
        <v>1</v>
      </c>
      <c r="B20" s="163" t="s">
        <v>66</v>
      </c>
      <c r="C20" s="183" t="s">
        <v>101</v>
      </c>
      <c r="D20" s="163">
        <v>21.31</v>
      </c>
      <c r="E20" s="234"/>
      <c r="F20" s="234"/>
      <c r="G20" s="234"/>
      <c r="H20" s="234"/>
    </row>
    <row r="21" spans="1:10" ht="18" x14ac:dyDescent="0.3">
      <c r="A21" s="163">
        <v>1</v>
      </c>
      <c r="B21" s="163" t="s">
        <v>67</v>
      </c>
      <c r="C21" s="183" t="s">
        <v>101</v>
      </c>
      <c r="D21" s="163">
        <v>5.68</v>
      </c>
      <c r="E21" s="234"/>
      <c r="F21" s="234"/>
      <c r="G21" s="234"/>
      <c r="H21" s="234"/>
    </row>
    <row r="22" spans="1:10" ht="18" x14ac:dyDescent="0.3">
      <c r="A22" s="163">
        <v>1</v>
      </c>
      <c r="B22" s="163" t="s">
        <v>404</v>
      </c>
      <c r="C22" s="183" t="s">
        <v>101</v>
      </c>
      <c r="D22" s="163">
        <v>17.02</v>
      </c>
      <c r="E22" s="234"/>
      <c r="F22" s="234"/>
      <c r="G22" s="234"/>
      <c r="H22" s="234"/>
    </row>
    <row r="23" spans="1:10" ht="18" x14ac:dyDescent="0.3">
      <c r="A23" s="163">
        <v>1</v>
      </c>
      <c r="B23" s="163" t="s">
        <v>405</v>
      </c>
      <c r="C23" s="183" t="s">
        <v>101</v>
      </c>
      <c r="D23" s="163">
        <v>21.33</v>
      </c>
      <c r="E23" s="234"/>
      <c r="F23" s="234"/>
      <c r="G23" s="234"/>
      <c r="H23" s="234"/>
    </row>
    <row r="24" spans="1:10" ht="18" x14ac:dyDescent="0.3">
      <c r="A24" s="163">
        <v>1</v>
      </c>
      <c r="B24" s="163" t="s">
        <v>406</v>
      </c>
      <c r="C24" s="183" t="s">
        <v>101</v>
      </c>
      <c r="D24" s="163">
        <v>5.63</v>
      </c>
      <c r="E24" s="234"/>
      <c r="F24" s="234"/>
      <c r="G24" s="234"/>
      <c r="H24" s="234"/>
    </row>
    <row r="25" spans="1:10" ht="18" x14ac:dyDescent="0.35">
      <c r="A25" s="156"/>
      <c r="B25" s="156"/>
      <c r="C25" s="182" t="s">
        <v>364</v>
      </c>
      <c r="D25" s="163">
        <f>SUM(D16:D24)</f>
        <v>132.13</v>
      </c>
      <c r="E25" s="234"/>
      <c r="F25" s="234"/>
      <c r="G25" s="234"/>
      <c r="H25" s="234"/>
    </row>
    <row r="28" spans="1:10" ht="18" x14ac:dyDescent="0.3">
      <c r="A28" s="241" t="s">
        <v>48</v>
      </c>
      <c r="B28" s="242"/>
      <c r="C28" s="242"/>
      <c r="D28" s="242"/>
      <c r="E28" s="242"/>
      <c r="F28" s="242"/>
      <c r="G28" s="242"/>
      <c r="H28" s="242"/>
      <c r="I28" s="242"/>
      <c r="J28" s="242"/>
    </row>
    <row r="29" spans="1:10" ht="18" customHeight="1" x14ac:dyDescent="0.3">
      <c r="A29" s="195" t="s">
        <v>0</v>
      </c>
      <c r="B29" s="243" t="s">
        <v>1</v>
      </c>
      <c r="C29" s="244"/>
      <c r="D29" s="244"/>
      <c r="E29" s="244"/>
      <c r="F29" s="244"/>
      <c r="G29" s="245"/>
      <c r="H29" s="208" t="s">
        <v>340</v>
      </c>
      <c r="I29" s="196" t="s">
        <v>2</v>
      </c>
      <c r="J29" s="196" t="s">
        <v>4</v>
      </c>
    </row>
    <row r="30" spans="1:10" ht="42" customHeight="1" x14ac:dyDescent="0.3">
      <c r="A30" s="195">
        <v>1</v>
      </c>
      <c r="B30" s="246" t="s">
        <v>366</v>
      </c>
      <c r="C30" s="247"/>
      <c r="D30" s="247"/>
      <c r="E30" s="247"/>
      <c r="F30" s="247"/>
      <c r="G30" s="248"/>
      <c r="H30" s="209" t="s">
        <v>419</v>
      </c>
      <c r="I30" s="197" t="s">
        <v>7</v>
      </c>
      <c r="J30" s="198">
        <f>SUM(C37:C39)+SUM(G37:G39)+SUM(J37:J39)</f>
        <v>216.87</v>
      </c>
    </row>
    <row r="31" spans="1:10" ht="18" x14ac:dyDescent="0.3">
      <c r="A31" s="195">
        <v>2</v>
      </c>
      <c r="B31" s="249" t="s">
        <v>420</v>
      </c>
      <c r="C31" s="250"/>
      <c r="D31" s="250"/>
      <c r="E31" s="250"/>
      <c r="F31" s="250"/>
      <c r="G31" s="251"/>
      <c r="H31" s="209" t="s">
        <v>421</v>
      </c>
      <c r="I31" s="197" t="s">
        <v>7</v>
      </c>
      <c r="J31" s="198">
        <f>C40+G40+J40</f>
        <v>85.86</v>
      </c>
    </row>
    <row r="32" spans="1:10" ht="18" x14ac:dyDescent="0.3">
      <c r="A32" s="195">
        <v>3</v>
      </c>
      <c r="B32" s="249" t="s">
        <v>420</v>
      </c>
      <c r="C32" s="250"/>
      <c r="D32" s="250"/>
      <c r="E32" s="250"/>
      <c r="F32" s="250"/>
      <c r="G32" s="251"/>
      <c r="H32" s="209" t="s">
        <v>422</v>
      </c>
      <c r="I32" s="197" t="s">
        <v>7</v>
      </c>
      <c r="J32" s="198">
        <f>C41+G41+J41</f>
        <v>48.72</v>
      </c>
    </row>
    <row r="33" spans="1:10" ht="18" x14ac:dyDescent="0.3">
      <c r="A33" s="195">
        <v>4</v>
      </c>
      <c r="B33" s="246" t="s">
        <v>423</v>
      </c>
      <c r="C33" s="247"/>
      <c r="D33" s="247"/>
      <c r="E33" s="247"/>
      <c r="F33" s="247"/>
      <c r="G33" s="248"/>
      <c r="H33" s="209" t="s">
        <v>424</v>
      </c>
      <c r="I33" s="197" t="s">
        <v>425</v>
      </c>
      <c r="J33" s="198">
        <f>C42+G42+J42</f>
        <v>341</v>
      </c>
    </row>
    <row r="34" spans="1:10" ht="18" x14ac:dyDescent="0.3">
      <c r="A34" s="252"/>
      <c r="B34" s="252"/>
      <c r="C34" s="252"/>
      <c r="D34" s="252"/>
      <c r="E34" s="252"/>
      <c r="F34" s="252"/>
      <c r="G34" s="252"/>
      <c r="H34" s="252"/>
      <c r="I34" s="252"/>
      <c r="J34" s="252"/>
    </row>
    <row r="35" spans="1:10" ht="18" x14ac:dyDescent="0.3">
      <c r="A35" s="253" t="s">
        <v>426</v>
      </c>
      <c r="B35" s="253"/>
      <c r="C35" s="253"/>
      <c r="D35" s="254"/>
      <c r="E35" s="253" t="s">
        <v>427</v>
      </c>
      <c r="F35" s="253"/>
      <c r="G35" s="253"/>
      <c r="H35" s="254"/>
      <c r="I35" s="253"/>
      <c r="J35" s="253"/>
    </row>
    <row r="36" spans="1:10" ht="18" x14ac:dyDescent="0.3">
      <c r="A36" s="199" t="s">
        <v>0</v>
      </c>
      <c r="B36" s="200" t="s">
        <v>36</v>
      </c>
      <c r="C36" s="201" t="s">
        <v>51</v>
      </c>
      <c r="D36" s="254"/>
      <c r="E36" s="199" t="s">
        <v>0</v>
      </c>
      <c r="F36" s="200" t="s">
        <v>429</v>
      </c>
      <c r="G36" s="201" t="s">
        <v>51</v>
      </c>
      <c r="H36" s="254"/>
      <c r="I36" s="200" t="s">
        <v>429</v>
      </c>
      <c r="J36" s="201" t="s">
        <v>51</v>
      </c>
    </row>
    <row r="37" spans="1:10" ht="18" x14ac:dyDescent="0.3">
      <c r="A37" s="202"/>
      <c r="B37" s="203">
        <v>6</v>
      </c>
      <c r="C37" s="204">
        <v>26.25</v>
      </c>
      <c r="D37" s="254"/>
      <c r="E37" s="205"/>
      <c r="F37" s="206">
        <v>6</v>
      </c>
      <c r="G37" s="207">
        <v>29.89</v>
      </c>
      <c r="H37" s="254"/>
      <c r="I37" s="203">
        <v>6</v>
      </c>
      <c r="J37" s="204">
        <v>29.89</v>
      </c>
    </row>
    <row r="38" spans="1:10" ht="18" x14ac:dyDescent="0.3">
      <c r="A38" s="205"/>
      <c r="B38" s="206">
        <v>6.1</v>
      </c>
      <c r="C38" s="207">
        <v>21.92</v>
      </c>
      <c r="D38" s="254"/>
      <c r="E38" s="202"/>
      <c r="F38" s="203">
        <v>6.1</v>
      </c>
      <c r="G38" s="204">
        <v>29.340000000000003</v>
      </c>
      <c r="H38" s="254"/>
      <c r="I38" s="206">
        <v>6.1</v>
      </c>
      <c r="J38" s="207">
        <v>29.340000000000003</v>
      </c>
    </row>
    <row r="39" spans="1:10" ht="18" x14ac:dyDescent="0.3">
      <c r="A39" s="202"/>
      <c r="B39" s="203">
        <v>6.2</v>
      </c>
      <c r="C39" s="204">
        <v>17.12</v>
      </c>
      <c r="D39" s="254"/>
      <c r="E39" s="205"/>
      <c r="F39" s="206">
        <v>6.2</v>
      </c>
      <c r="G39" s="207">
        <v>16.560000000000002</v>
      </c>
      <c r="H39" s="254"/>
      <c r="I39" s="203">
        <v>6.2</v>
      </c>
      <c r="J39" s="204">
        <v>16.560000000000002</v>
      </c>
    </row>
    <row r="40" spans="1:10" ht="18" x14ac:dyDescent="0.3">
      <c r="A40" s="205"/>
      <c r="B40" s="206">
        <v>6.3</v>
      </c>
      <c r="C40" s="207">
        <v>29.58</v>
      </c>
      <c r="D40" s="254"/>
      <c r="E40" s="202"/>
      <c r="F40" s="203">
        <v>6.3</v>
      </c>
      <c r="G40" s="204">
        <v>29.58</v>
      </c>
      <c r="H40" s="254"/>
      <c r="I40" s="206">
        <v>6.3</v>
      </c>
      <c r="J40" s="207">
        <v>26.700000000000003</v>
      </c>
    </row>
    <row r="41" spans="1:10" ht="18" x14ac:dyDescent="0.3">
      <c r="A41" s="202"/>
      <c r="B41" s="203">
        <v>6.4</v>
      </c>
      <c r="C41" s="204">
        <v>16.239999999999998</v>
      </c>
      <c r="D41" s="254"/>
      <c r="E41" s="205"/>
      <c r="F41" s="206">
        <v>6.4</v>
      </c>
      <c r="G41" s="207">
        <v>16.239999999999998</v>
      </c>
      <c r="H41" s="254"/>
      <c r="I41" s="203">
        <v>6.4</v>
      </c>
      <c r="J41" s="204">
        <v>16.239999999999998</v>
      </c>
    </row>
    <row r="42" spans="1:10" ht="36" x14ac:dyDescent="0.3">
      <c r="A42" s="205"/>
      <c r="B42" s="206" t="s">
        <v>430</v>
      </c>
      <c r="C42" s="207">
        <v>110.3</v>
      </c>
      <c r="D42" s="254"/>
      <c r="E42" s="202"/>
      <c r="F42" s="203" t="s">
        <v>430</v>
      </c>
      <c r="G42" s="204">
        <v>116.2</v>
      </c>
      <c r="H42" s="254"/>
      <c r="I42" s="206" t="s">
        <v>430</v>
      </c>
      <c r="J42" s="207">
        <v>114.5</v>
      </c>
    </row>
    <row r="47" spans="1:10" ht="18" x14ac:dyDescent="0.3">
      <c r="A47" s="219" t="s">
        <v>434</v>
      </c>
      <c r="B47" s="219"/>
      <c r="C47" s="219"/>
      <c r="D47" s="219"/>
      <c r="E47" s="219"/>
      <c r="F47" s="219"/>
      <c r="G47" s="219"/>
      <c r="H47" s="219"/>
    </row>
    <row r="48" spans="1:10" ht="18" x14ac:dyDescent="0.3">
      <c r="A48" s="192" t="s">
        <v>358</v>
      </c>
      <c r="B48" s="224" t="s">
        <v>302</v>
      </c>
      <c r="C48" s="225"/>
      <c r="D48" s="225"/>
      <c r="E48" s="226"/>
      <c r="F48" s="167" t="s">
        <v>340</v>
      </c>
      <c r="G48" s="192" t="s">
        <v>2</v>
      </c>
      <c r="H48" s="158" t="s">
        <v>4</v>
      </c>
    </row>
    <row r="49" spans="1:8" ht="54.6" customHeight="1" x14ac:dyDescent="0.3">
      <c r="A49" s="192">
        <v>1</v>
      </c>
      <c r="B49" s="227" t="s">
        <v>394</v>
      </c>
      <c r="C49" s="228"/>
      <c r="D49" s="228"/>
      <c r="E49" s="229"/>
      <c r="F49" s="167" t="s">
        <v>419</v>
      </c>
      <c r="G49" s="192" t="s">
        <v>7</v>
      </c>
      <c r="H49" s="159">
        <f>D54+D55+D56</f>
        <v>65.290000000000006</v>
      </c>
    </row>
    <row r="50" spans="1:8" ht="55.2" customHeight="1" x14ac:dyDescent="0.3">
      <c r="A50" s="192">
        <v>2</v>
      </c>
      <c r="B50" s="227" t="s">
        <v>420</v>
      </c>
      <c r="C50" s="228"/>
      <c r="D50" s="228"/>
      <c r="E50" s="229"/>
      <c r="F50" s="167" t="s">
        <v>421</v>
      </c>
      <c r="G50" s="192" t="s">
        <v>7</v>
      </c>
      <c r="H50" s="159">
        <f>D57</f>
        <v>29.58</v>
      </c>
    </row>
    <row r="51" spans="1:8" ht="55.2" customHeight="1" x14ac:dyDescent="0.3">
      <c r="A51" s="192">
        <v>3</v>
      </c>
      <c r="B51" s="227" t="s">
        <v>420</v>
      </c>
      <c r="C51" s="228"/>
      <c r="D51" s="228"/>
      <c r="E51" s="229"/>
      <c r="F51" s="167" t="s">
        <v>422</v>
      </c>
      <c r="G51" s="192" t="s">
        <v>7</v>
      </c>
      <c r="H51" s="159">
        <f>D58</f>
        <v>16.239999999999998</v>
      </c>
    </row>
    <row r="52" spans="1:8" ht="18" x14ac:dyDescent="0.35">
      <c r="A52" s="217"/>
      <c r="B52" s="217"/>
      <c r="C52" s="217"/>
      <c r="D52" s="217"/>
      <c r="E52" s="217"/>
      <c r="F52" s="217"/>
      <c r="G52" s="217"/>
      <c r="H52" s="217"/>
    </row>
    <row r="53" spans="1:8" ht="18" x14ac:dyDescent="0.3">
      <c r="A53" s="163" t="s">
        <v>360</v>
      </c>
      <c r="B53" s="163" t="s">
        <v>367</v>
      </c>
      <c r="C53" s="163" t="s">
        <v>36</v>
      </c>
      <c r="D53" s="163" t="s">
        <v>398</v>
      </c>
      <c r="E53" s="234"/>
      <c r="F53" s="234"/>
      <c r="G53" s="234"/>
      <c r="H53" s="234"/>
    </row>
    <row r="54" spans="1:8" ht="18" x14ac:dyDescent="0.3">
      <c r="A54" s="163">
        <v>1</v>
      </c>
      <c r="B54" s="163" t="s">
        <v>426</v>
      </c>
      <c r="C54" s="183" t="s">
        <v>391</v>
      </c>
      <c r="D54" s="163">
        <v>26.25</v>
      </c>
      <c r="E54" s="234"/>
      <c r="F54" s="234"/>
      <c r="G54" s="234"/>
      <c r="H54" s="234"/>
    </row>
    <row r="55" spans="1:8" ht="18" x14ac:dyDescent="0.3">
      <c r="A55" s="163">
        <v>1</v>
      </c>
      <c r="B55" s="163" t="s">
        <v>426</v>
      </c>
      <c r="C55" s="183">
        <v>6.1</v>
      </c>
      <c r="D55" s="163">
        <v>21.92</v>
      </c>
      <c r="E55" s="234"/>
      <c r="F55" s="234"/>
      <c r="G55" s="234"/>
      <c r="H55" s="234"/>
    </row>
    <row r="56" spans="1:8" ht="18" x14ac:dyDescent="0.3">
      <c r="A56" s="163">
        <v>1</v>
      </c>
      <c r="B56" s="163" t="s">
        <v>426</v>
      </c>
      <c r="C56" s="183">
        <v>6.2</v>
      </c>
      <c r="D56" s="163">
        <v>17.12</v>
      </c>
      <c r="E56" s="234"/>
      <c r="F56" s="234"/>
      <c r="G56" s="234"/>
      <c r="H56" s="234"/>
    </row>
    <row r="57" spans="1:8" ht="18" x14ac:dyDescent="0.3">
      <c r="A57" s="163">
        <v>1</v>
      </c>
      <c r="B57" s="163" t="s">
        <v>426</v>
      </c>
      <c r="C57" s="183">
        <v>6.3</v>
      </c>
      <c r="D57" s="163">
        <v>29.58</v>
      </c>
      <c r="E57" s="234"/>
      <c r="F57" s="234"/>
      <c r="G57" s="234"/>
      <c r="H57" s="234"/>
    </row>
    <row r="58" spans="1:8" ht="18" x14ac:dyDescent="0.3">
      <c r="A58" s="163">
        <v>1</v>
      </c>
      <c r="B58" s="163" t="s">
        <v>426</v>
      </c>
      <c r="C58" s="183">
        <v>6.4</v>
      </c>
      <c r="D58" s="163">
        <v>16.239999999999998</v>
      </c>
      <c r="E58" s="234"/>
      <c r="F58" s="234"/>
      <c r="G58" s="234"/>
      <c r="H58" s="234"/>
    </row>
    <row r="59" spans="1:8" ht="18" x14ac:dyDescent="0.35">
      <c r="A59" s="156"/>
      <c r="B59" s="156"/>
      <c r="C59" s="182" t="s">
        <v>364</v>
      </c>
      <c r="D59" s="163">
        <f>SUM(D54:D58)</f>
        <v>111.11</v>
      </c>
      <c r="E59" s="234"/>
      <c r="F59" s="234"/>
      <c r="G59" s="234"/>
      <c r="H59" s="234"/>
    </row>
  </sheetData>
  <mergeCells count="26">
    <mergeCell ref="E53:H59"/>
    <mergeCell ref="B51:E51"/>
    <mergeCell ref="B32:G32"/>
    <mergeCell ref="B33:G33"/>
    <mergeCell ref="A34:J34"/>
    <mergeCell ref="A35:C35"/>
    <mergeCell ref="D35:D42"/>
    <mergeCell ref="E35:G35"/>
    <mergeCell ref="H35:H42"/>
    <mergeCell ref="I35:J35"/>
    <mergeCell ref="A47:H47"/>
    <mergeCell ref="B48:E48"/>
    <mergeCell ref="B49:E49"/>
    <mergeCell ref="B50:E50"/>
    <mergeCell ref="A52:H52"/>
    <mergeCell ref="A28:J28"/>
    <mergeCell ref="B29:G29"/>
    <mergeCell ref="B30:G30"/>
    <mergeCell ref="B31:G31"/>
    <mergeCell ref="A1:H1"/>
    <mergeCell ref="B2:E2"/>
    <mergeCell ref="B3:E3"/>
    <mergeCell ref="B4:E4"/>
    <mergeCell ref="A5:H5"/>
    <mergeCell ref="E6:H25"/>
    <mergeCell ref="A14:D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12"/>
  <sheetViews>
    <sheetView zoomScale="55" zoomScaleNormal="55" workbookViewId="0">
      <selection activeCell="E5" sqref="A1:H9"/>
    </sheetView>
  </sheetViews>
  <sheetFormatPr defaultRowHeight="18" x14ac:dyDescent="0.35"/>
  <cols>
    <col min="1" max="2" width="11.5546875" style="156" customWidth="1"/>
    <col min="3" max="3" width="17.109375" style="156" customWidth="1"/>
    <col min="4" max="5" width="14.109375" style="156" customWidth="1"/>
    <col min="6" max="6" width="9.88671875" style="156" customWidth="1"/>
    <col min="7" max="7" width="15.33203125" style="156" customWidth="1"/>
    <col min="8" max="8" width="12.5546875" style="156" customWidth="1"/>
    <col min="9" max="16384" width="8.88671875" style="156"/>
  </cols>
  <sheetData>
    <row r="1" spans="1:8" x14ac:dyDescent="0.35">
      <c r="A1" s="235" t="s">
        <v>433</v>
      </c>
      <c r="B1" s="236"/>
      <c r="C1" s="236"/>
      <c r="D1" s="236"/>
      <c r="E1" s="236"/>
      <c r="F1" s="236"/>
      <c r="G1" s="236"/>
      <c r="H1" s="237"/>
    </row>
    <row r="2" spans="1:8" ht="18" customHeight="1" x14ac:dyDescent="0.35">
      <c r="A2" s="190" t="s">
        <v>358</v>
      </c>
      <c r="B2" s="224" t="s">
        <v>302</v>
      </c>
      <c r="C2" s="225"/>
      <c r="D2" s="225"/>
      <c r="E2" s="226"/>
      <c r="F2" s="167" t="s">
        <v>340</v>
      </c>
      <c r="G2" s="190" t="s">
        <v>2</v>
      </c>
      <c r="H2" s="158" t="s">
        <v>4</v>
      </c>
    </row>
    <row r="3" spans="1:8" ht="66.599999999999994" customHeight="1" x14ac:dyDescent="0.35">
      <c r="A3" s="190">
        <v>1</v>
      </c>
      <c r="B3" s="227" t="s">
        <v>366</v>
      </c>
      <c r="C3" s="228"/>
      <c r="D3" s="228"/>
      <c r="E3" s="229"/>
      <c r="F3" s="167" t="s">
        <v>416</v>
      </c>
      <c r="G3" s="190" t="s">
        <v>7</v>
      </c>
      <c r="H3" s="159">
        <f>D9</f>
        <v>435.32</v>
      </c>
    </row>
    <row r="4" spans="1:8" x14ac:dyDescent="0.35">
      <c r="A4" s="217"/>
      <c r="B4" s="217"/>
      <c r="C4" s="217"/>
      <c r="D4" s="217"/>
      <c r="E4" s="217"/>
      <c r="F4" s="217"/>
      <c r="G4" s="217"/>
      <c r="H4" s="217"/>
    </row>
    <row r="5" spans="1:8" x14ac:dyDescent="0.35">
      <c r="A5" s="163" t="s">
        <v>0</v>
      </c>
      <c r="B5" s="163" t="s">
        <v>367</v>
      </c>
      <c r="C5" s="163" t="s">
        <v>36</v>
      </c>
      <c r="D5" s="163" t="s">
        <v>398</v>
      </c>
      <c r="E5" s="233"/>
      <c r="F5" s="234"/>
      <c r="G5" s="234"/>
      <c r="H5" s="234"/>
    </row>
    <row r="6" spans="1:8" x14ac:dyDescent="0.35">
      <c r="A6" s="163">
        <v>1</v>
      </c>
      <c r="B6" s="163" t="s">
        <v>417</v>
      </c>
      <c r="C6" s="183" t="s">
        <v>392</v>
      </c>
      <c r="D6" s="163">
        <v>158.30000000000001</v>
      </c>
      <c r="E6" s="233"/>
      <c r="F6" s="234"/>
      <c r="G6" s="234"/>
      <c r="H6" s="234"/>
    </row>
    <row r="7" spans="1:8" x14ac:dyDescent="0.35">
      <c r="A7" s="163">
        <v>2</v>
      </c>
      <c r="B7" s="163" t="s">
        <v>418</v>
      </c>
      <c r="C7" s="183" t="s">
        <v>392</v>
      </c>
      <c r="D7" s="163">
        <v>152.1</v>
      </c>
      <c r="E7" s="233"/>
      <c r="F7" s="234"/>
      <c r="G7" s="234"/>
      <c r="H7" s="234"/>
    </row>
    <row r="8" spans="1:8" x14ac:dyDescent="0.35">
      <c r="A8" s="163">
        <v>3</v>
      </c>
      <c r="B8" s="163" t="s">
        <v>91</v>
      </c>
      <c r="C8" s="183" t="s">
        <v>392</v>
      </c>
      <c r="D8" s="163">
        <v>124.92</v>
      </c>
      <c r="E8" s="233"/>
      <c r="F8" s="234"/>
      <c r="G8" s="234"/>
      <c r="H8" s="234"/>
    </row>
    <row r="9" spans="1:8" x14ac:dyDescent="0.35">
      <c r="A9" s="217"/>
      <c r="B9" s="239"/>
      <c r="C9" s="182" t="s">
        <v>364</v>
      </c>
      <c r="D9" s="163">
        <f>SUM(D6:D8)</f>
        <v>435.32</v>
      </c>
      <c r="E9" s="233"/>
      <c r="F9" s="234"/>
      <c r="G9" s="234"/>
      <c r="H9" s="234"/>
    </row>
    <row r="12" spans="1:8" x14ac:dyDescent="0.35">
      <c r="D12" s="193">
        <v>435.32000000000005</v>
      </c>
    </row>
  </sheetData>
  <mergeCells count="6">
    <mergeCell ref="B2:E2"/>
    <mergeCell ref="B3:E3"/>
    <mergeCell ref="A1:H1"/>
    <mergeCell ref="A4:H4"/>
    <mergeCell ref="E5:H9"/>
    <mergeCell ref="A9:B9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15"/>
  <sheetViews>
    <sheetView zoomScale="55" zoomScaleNormal="55" workbookViewId="0">
      <selection activeCell="G15" sqref="A13:G15"/>
    </sheetView>
  </sheetViews>
  <sheetFormatPr defaultRowHeight="18" x14ac:dyDescent="0.35"/>
  <cols>
    <col min="1" max="1" width="11.5546875" style="156" customWidth="1"/>
    <col min="2" max="2" width="12" style="156" customWidth="1"/>
    <col min="3" max="3" width="14.109375" style="156" customWidth="1"/>
    <col min="4" max="4" width="17.5546875" style="156" customWidth="1"/>
    <col min="5" max="5" width="7.21875" style="156" customWidth="1"/>
    <col min="6" max="6" width="12.5546875" style="156" customWidth="1"/>
    <col min="7" max="7" width="12.88671875" style="156" customWidth="1"/>
    <col min="8" max="16384" width="8.88671875" style="156"/>
  </cols>
  <sheetData>
    <row r="1" spans="1:7" x14ac:dyDescent="0.35">
      <c r="A1" s="219" t="s">
        <v>433</v>
      </c>
      <c r="B1" s="219"/>
      <c r="C1" s="219"/>
      <c r="D1" s="219"/>
      <c r="E1" s="219"/>
      <c r="F1" s="219"/>
      <c r="G1" s="219"/>
    </row>
    <row r="2" spans="1:7" ht="18" customHeight="1" x14ac:dyDescent="0.35">
      <c r="A2" s="189" t="s">
        <v>358</v>
      </c>
      <c r="B2" s="224" t="s">
        <v>302</v>
      </c>
      <c r="C2" s="225"/>
      <c r="D2" s="225"/>
      <c r="E2" s="226"/>
      <c r="F2" s="189" t="s">
        <v>2</v>
      </c>
      <c r="G2" s="158" t="s">
        <v>4</v>
      </c>
    </row>
    <row r="3" spans="1:7" ht="54" customHeight="1" x14ac:dyDescent="0.35">
      <c r="A3" s="189">
        <v>1</v>
      </c>
      <c r="B3" s="227" t="s">
        <v>410</v>
      </c>
      <c r="C3" s="228"/>
      <c r="D3" s="228"/>
      <c r="E3" s="229"/>
      <c r="F3" s="189" t="s">
        <v>411</v>
      </c>
      <c r="G3" s="159">
        <f>1.144*6+4.1*4+0.9*18</f>
        <v>39.463999999999999</v>
      </c>
    </row>
    <row r="5" spans="1:7" x14ac:dyDescent="0.35">
      <c r="A5" s="219" t="s">
        <v>433</v>
      </c>
      <c r="B5" s="219"/>
      <c r="C5" s="219"/>
      <c r="D5" s="219"/>
      <c r="E5" s="219"/>
      <c r="F5" s="219"/>
      <c r="G5" s="219"/>
    </row>
    <row r="6" spans="1:7" x14ac:dyDescent="0.35">
      <c r="A6" s="189" t="s">
        <v>358</v>
      </c>
      <c r="B6" s="224" t="s">
        <v>302</v>
      </c>
      <c r="C6" s="225"/>
      <c r="D6" s="225"/>
      <c r="E6" s="226"/>
      <c r="F6" s="189" t="s">
        <v>2</v>
      </c>
      <c r="G6" s="158" t="s">
        <v>4</v>
      </c>
    </row>
    <row r="7" spans="1:7" ht="55.2" customHeight="1" x14ac:dyDescent="0.35">
      <c r="A7" s="189">
        <v>2</v>
      </c>
      <c r="B7" s="227" t="s">
        <v>412</v>
      </c>
      <c r="C7" s="228"/>
      <c r="D7" s="228"/>
      <c r="E7" s="229"/>
      <c r="F7" s="189" t="s">
        <v>105</v>
      </c>
      <c r="G7" s="159">
        <f>0.9*0.03*4.1*4</f>
        <v>0.44279999999999997</v>
      </c>
    </row>
    <row r="9" spans="1:7" x14ac:dyDescent="0.35">
      <c r="A9" s="219" t="s">
        <v>433</v>
      </c>
      <c r="B9" s="219"/>
      <c r="C9" s="219"/>
      <c r="D9" s="219"/>
      <c r="E9" s="219"/>
      <c r="F9" s="219"/>
      <c r="G9" s="219"/>
    </row>
    <row r="10" spans="1:7" x14ac:dyDescent="0.35">
      <c r="A10" s="189" t="s">
        <v>358</v>
      </c>
      <c r="B10" s="224" t="s">
        <v>302</v>
      </c>
      <c r="C10" s="225"/>
      <c r="D10" s="225"/>
      <c r="E10" s="226"/>
      <c r="F10" s="189" t="s">
        <v>2</v>
      </c>
      <c r="G10" s="158" t="s">
        <v>4</v>
      </c>
    </row>
    <row r="11" spans="1:7" ht="40.799999999999997" customHeight="1" x14ac:dyDescent="0.35">
      <c r="A11" s="189">
        <v>3</v>
      </c>
      <c r="B11" s="227" t="s">
        <v>413</v>
      </c>
      <c r="C11" s="228"/>
      <c r="D11" s="228"/>
      <c r="E11" s="229"/>
      <c r="F11" s="189" t="s">
        <v>105</v>
      </c>
      <c r="G11" s="159">
        <f>0.34*4.1</f>
        <v>1.3939999999999999</v>
      </c>
    </row>
    <row r="13" spans="1:7" x14ac:dyDescent="0.35">
      <c r="A13" s="219" t="s">
        <v>433</v>
      </c>
      <c r="B13" s="219"/>
      <c r="C13" s="219"/>
      <c r="D13" s="219"/>
      <c r="E13" s="219"/>
      <c r="F13" s="219"/>
      <c r="G13" s="219"/>
    </row>
    <row r="14" spans="1:7" x14ac:dyDescent="0.35">
      <c r="A14" s="189" t="s">
        <v>358</v>
      </c>
      <c r="B14" s="224" t="s">
        <v>302</v>
      </c>
      <c r="C14" s="225"/>
      <c r="D14" s="225"/>
      <c r="E14" s="226"/>
      <c r="F14" s="189" t="s">
        <v>2</v>
      </c>
      <c r="G14" s="158" t="s">
        <v>4</v>
      </c>
    </row>
    <row r="15" spans="1:7" ht="60.6" customHeight="1" x14ac:dyDescent="0.35">
      <c r="A15" s="189">
        <v>4</v>
      </c>
      <c r="B15" s="227" t="s">
        <v>414</v>
      </c>
      <c r="C15" s="228"/>
      <c r="D15" s="228"/>
      <c r="E15" s="229"/>
      <c r="F15" s="189" t="s">
        <v>105</v>
      </c>
      <c r="G15" s="159">
        <f>0.76*4.1</f>
        <v>3.1159999999999997</v>
      </c>
    </row>
  </sheetData>
  <mergeCells count="12">
    <mergeCell ref="B15:E15"/>
    <mergeCell ref="A5:G5"/>
    <mergeCell ref="B6:E6"/>
    <mergeCell ref="B7:E7"/>
    <mergeCell ref="A9:G9"/>
    <mergeCell ref="B10:E10"/>
    <mergeCell ref="B11:E11"/>
    <mergeCell ref="A1:G1"/>
    <mergeCell ref="B2:E2"/>
    <mergeCell ref="B3:E3"/>
    <mergeCell ref="A13:G13"/>
    <mergeCell ref="B14:E14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I27"/>
  <sheetViews>
    <sheetView zoomScale="55" zoomScaleNormal="55" workbookViewId="0">
      <selection activeCell="E43" sqref="E43"/>
    </sheetView>
  </sheetViews>
  <sheetFormatPr defaultRowHeight="18" x14ac:dyDescent="0.35"/>
  <cols>
    <col min="1" max="2" width="11.5546875" style="156" customWidth="1"/>
    <col min="3" max="3" width="12" style="156" customWidth="1"/>
    <col min="4" max="4" width="14.109375" style="156" customWidth="1"/>
    <col min="5" max="5" width="17.5546875" style="156" customWidth="1"/>
    <col min="6" max="6" width="7.21875" style="156" customWidth="1"/>
    <col min="7" max="7" width="32.44140625" style="156" customWidth="1"/>
    <col min="8" max="8" width="12.5546875" style="156" customWidth="1"/>
    <col min="9" max="9" width="12.88671875" style="156" customWidth="1"/>
    <col min="10" max="16384" width="8.88671875" style="156"/>
  </cols>
  <sheetData>
    <row r="1" spans="1:9" x14ac:dyDescent="0.35">
      <c r="A1" s="219" t="s">
        <v>433</v>
      </c>
      <c r="B1" s="219"/>
      <c r="C1" s="219"/>
      <c r="D1" s="219"/>
      <c r="E1" s="219"/>
      <c r="F1" s="219"/>
      <c r="G1" s="219"/>
      <c r="H1" s="219"/>
      <c r="I1" s="219"/>
    </row>
    <row r="2" spans="1:9" ht="18" customHeight="1" x14ac:dyDescent="0.35">
      <c r="A2" s="188" t="s">
        <v>358</v>
      </c>
      <c r="B2" s="187" t="s">
        <v>365</v>
      </c>
      <c r="C2" s="224" t="s">
        <v>302</v>
      </c>
      <c r="D2" s="225"/>
      <c r="E2" s="225"/>
      <c r="F2" s="226"/>
      <c r="G2" s="167" t="s">
        <v>340</v>
      </c>
      <c r="H2" s="188" t="s">
        <v>2</v>
      </c>
      <c r="I2" s="158" t="s">
        <v>4</v>
      </c>
    </row>
    <row r="3" spans="1:9" ht="54" customHeight="1" x14ac:dyDescent="0.35">
      <c r="A3" s="188">
        <v>1</v>
      </c>
      <c r="B3" s="187">
        <v>177</v>
      </c>
      <c r="C3" s="227" t="s">
        <v>394</v>
      </c>
      <c r="D3" s="228"/>
      <c r="E3" s="228"/>
      <c r="F3" s="229"/>
      <c r="G3" s="167" t="s">
        <v>395</v>
      </c>
      <c r="H3" s="188" t="s">
        <v>7</v>
      </c>
      <c r="I3" s="159">
        <f>D13</f>
        <v>25.27</v>
      </c>
    </row>
    <row r="4" spans="1:9" ht="54" customHeight="1" x14ac:dyDescent="0.35">
      <c r="A4" s="188">
        <v>2</v>
      </c>
      <c r="B4" s="187">
        <v>192</v>
      </c>
      <c r="C4" s="227" t="s">
        <v>366</v>
      </c>
      <c r="D4" s="228"/>
      <c r="E4" s="228"/>
      <c r="F4" s="229"/>
      <c r="G4" s="167" t="s">
        <v>409</v>
      </c>
      <c r="H4" s="188" t="s">
        <v>7</v>
      </c>
      <c r="I4" s="159">
        <f>D27</f>
        <v>454.36999999999995</v>
      </c>
    </row>
    <row r="5" spans="1:9" x14ac:dyDescent="0.35">
      <c r="A5" s="217"/>
      <c r="B5" s="217"/>
      <c r="C5" s="217"/>
      <c r="D5" s="217"/>
      <c r="E5" s="217"/>
      <c r="F5" s="217"/>
      <c r="G5" s="217"/>
      <c r="H5" s="217"/>
      <c r="I5" s="217"/>
    </row>
    <row r="6" spans="1:9" x14ac:dyDescent="0.35">
      <c r="A6" s="163" t="s">
        <v>360</v>
      </c>
      <c r="B6" s="163" t="s">
        <v>367</v>
      </c>
      <c r="C6" s="163" t="s">
        <v>36</v>
      </c>
      <c r="D6" s="163" t="s">
        <v>398</v>
      </c>
      <c r="E6" s="234"/>
      <c r="F6" s="234"/>
      <c r="G6" s="234"/>
      <c r="H6" s="234"/>
      <c r="I6" s="234"/>
    </row>
    <row r="7" spans="1:9" x14ac:dyDescent="0.35">
      <c r="A7" s="163">
        <v>1</v>
      </c>
      <c r="B7" s="163" t="s">
        <v>396</v>
      </c>
      <c r="C7" s="183" t="s">
        <v>382</v>
      </c>
      <c r="D7" s="163">
        <v>3.14</v>
      </c>
      <c r="E7" s="234"/>
      <c r="F7" s="234"/>
      <c r="G7" s="234"/>
      <c r="H7" s="234"/>
      <c r="I7" s="234"/>
    </row>
    <row r="8" spans="1:9" x14ac:dyDescent="0.35">
      <c r="A8" s="163">
        <v>1</v>
      </c>
      <c r="B8" s="163" t="s">
        <v>380</v>
      </c>
      <c r="C8" s="183" t="s">
        <v>382</v>
      </c>
      <c r="D8" s="163">
        <v>5.25</v>
      </c>
      <c r="E8" s="234"/>
      <c r="F8" s="234"/>
      <c r="G8" s="234"/>
      <c r="H8" s="234"/>
      <c r="I8" s="234"/>
    </row>
    <row r="9" spans="1:9" x14ac:dyDescent="0.35">
      <c r="A9" s="163">
        <v>1</v>
      </c>
      <c r="B9" s="163" t="s">
        <v>68</v>
      </c>
      <c r="C9" s="183" t="s">
        <v>397</v>
      </c>
      <c r="D9" s="163">
        <v>3.16</v>
      </c>
      <c r="E9" s="234"/>
      <c r="F9" s="234"/>
      <c r="G9" s="234"/>
      <c r="H9" s="234"/>
      <c r="I9" s="234"/>
    </row>
    <row r="10" spans="1:9" x14ac:dyDescent="0.35">
      <c r="A10" s="163">
        <v>1</v>
      </c>
      <c r="B10" s="163" t="s">
        <v>69</v>
      </c>
      <c r="C10" s="183" t="s">
        <v>397</v>
      </c>
      <c r="D10" s="163">
        <v>5.29</v>
      </c>
      <c r="E10" s="234"/>
      <c r="F10" s="234"/>
      <c r="G10" s="234"/>
      <c r="H10" s="234"/>
      <c r="I10" s="234"/>
    </row>
    <row r="11" spans="1:9" x14ac:dyDescent="0.35">
      <c r="A11" s="163">
        <v>1</v>
      </c>
      <c r="B11" s="163" t="s">
        <v>399</v>
      </c>
      <c r="C11" s="183" t="s">
        <v>397</v>
      </c>
      <c r="D11" s="163">
        <v>3.18</v>
      </c>
      <c r="E11" s="234"/>
      <c r="F11" s="234"/>
      <c r="G11" s="234"/>
      <c r="H11" s="234"/>
      <c r="I11" s="234"/>
    </row>
    <row r="12" spans="1:9" x14ac:dyDescent="0.35">
      <c r="A12" s="163">
        <v>1</v>
      </c>
      <c r="B12" s="163" t="s">
        <v>400</v>
      </c>
      <c r="C12" s="183" t="s">
        <v>397</v>
      </c>
      <c r="D12" s="163">
        <v>5.25</v>
      </c>
      <c r="E12" s="234"/>
      <c r="F12" s="234"/>
      <c r="G12" s="234"/>
      <c r="H12" s="234"/>
      <c r="I12" s="234"/>
    </row>
    <row r="13" spans="1:9" x14ac:dyDescent="0.35">
      <c r="C13" s="182" t="s">
        <v>364</v>
      </c>
      <c r="D13" s="163">
        <f>SUM(D7:D12)</f>
        <v>25.27</v>
      </c>
      <c r="E13" s="234"/>
      <c r="F13" s="234"/>
      <c r="G13" s="234"/>
      <c r="H13" s="234"/>
      <c r="I13" s="234"/>
    </row>
    <row r="14" spans="1:9" x14ac:dyDescent="0.35">
      <c r="A14" s="240"/>
      <c r="B14" s="240"/>
      <c r="C14" s="240"/>
      <c r="D14" s="240"/>
      <c r="E14" s="234"/>
      <c r="F14" s="234"/>
      <c r="G14" s="234"/>
      <c r="H14" s="234"/>
      <c r="I14" s="234"/>
    </row>
    <row r="15" spans="1:9" x14ac:dyDescent="0.35">
      <c r="A15" s="163" t="s">
        <v>360</v>
      </c>
      <c r="B15" s="163" t="s">
        <v>367</v>
      </c>
      <c r="C15" s="163" t="s">
        <v>36</v>
      </c>
      <c r="D15" s="163" t="s">
        <v>398</v>
      </c>
      <c r="E15" s="234"/>
      <c r="F15" s="234"/>
      <c r="G15" s="234"/>
      <c r="H15" s="234"/>
      <c r="I15" s="234"/>
    </row>
    <row r="16" spans="1:9" x14ac:dyDescent="0.35">
      <c r="A16" s="163">
        <v>1</v>
      </c>
      <c r="B16" s="163" t="s">
        <v>407</v>
      </c>
      <c r="C16" s="183" t="s">
        <v>391</v>
      </c>
      <c r="D16" s="163">
        <v>238.43</v>
      </c>
      <c r="E16" s="234"/>
      <c r="F16" s="234"/>
      <c r="G16" s="234"/>
      <c r="H16" s="234"/>
      <c r="I16" s="234"/>
    </row>
    <row r="17" spans="1:9" x14ac:dyDescent="0.35">
      <c r="A17" s="163">
        <v>1</v>
      </c>
      <c r="B17" s="163" t="s">
        <v>408</v>
      </c>
      <c r="C17" s="183" t="s">
        <v>391</v>
      </c>
      <c r="D17" s="163">
        <v>83.81</v>
      </c>
      <c r="E17" s="234"/>
      <c r="F17" s="234"/>
      <c r="G17" s="234"/>
      <c r="H17" s="234"/>
      <c r="I17" s="234"/>
    </row>
    <row r="18" spans="1:9" x14ac:dyDescent="0.35">
      <c r="A18" s="163">
        <v>1</v>
      </c>
      <c r="B18" s="163" t="s">
        <v>401</v>
      </c>
      <c r="C18" s="183" t="s">
        <v>101</v>
      </c>
      <c r="D18" s="163">
        <v>17.059999999999999</v>
      </c>
      <c r="E18" s="234"/>
      <c r="F18" s="234"/>
      <c r="G18" s="234"/>
      <c r="H18" s="234"/>
      <c r="I18" s="234"/>
    </row>
    <row r="19" spans="1:9" x14ac:dyDescent="0.35">
      <c r="A19" s="163">
        <v>1</v>
      </c>
      <c r="B19" s="163" t="s">
        <v>402</v>
      </c>
      <c r="C19" s="183" t="s">
        <v>101</v>
      </c>
      <c r="D19" s="163">
        <v>21.33</v>
      </c>
      <c r="E19" s="234"/>
      <c r="F19" s="234"/>
      <c r="G19" s="234"/>
      <c r="H19" s="234"/>
      <c r="I19" s="234"/>
    </row>
    <row r="20" spans="1:9" x14ac:dyDescent="0.35">
      <c r="A20" s="163">
        <v>1</v>
      </c>
      <c r="B20" s="163" t="s">
        <v>403</v>
      </c>
      <c r="C20" s="183" t="s">
        <v>101</v>
      </c>
      <c r="D20" s="163">
        <v>5.69</v>
      </c>
      <c r="E20" s="234"/>
      <c r="F20" s="234"/>
      <c r="G20" s="234"/>
      <c r="H20" s="234"/>
      <c r="I20" s="234"/>
    </row>
    <row r="21" spans="1:9" x14ac:dyDescent="0.35">
      <c r="A21" s="163">
        <v>1</v>
      </c>
      <c r="B21" s="163" t="s">
        <v>65</v>
      </c>
      <c r="C21" s="183" t="s">
        <v>101</v>
      </c>
      <c r="D21" s="163">
        <v>17.079999999999998</v>
      </c>
      <c r="E21" s="234"/>
      <c r="F21" s="234"/>
      <c r="G21" s="234"/>
      <c r="H21" s="234"/>
      <c r="I21" s="234"/>
    </row>
    <row r="22" spans="1:9" x14ac:dyDescent="0.35">
      <c r="A22" s="163">
        <v>1</v>
      </c>
      <c r="B22" s="163" t="s">
        <v>66</v>
      </c>
      <c r="C22" s="183" t="s">
        <v>101</v>
      </c>
      <c r="D22" s="163">
        <v>21.31</v>
      </c>
      <c r="E22" s="234"/>
      <c r="F22" s="234"/>
      <c r="G22" s="234"/>
      <c r="H22" s="234"/>
      <c r="I22" s="234"/>
    </row>
    <row r="23" spans="1:9" x14ac:dyDescent="0.35">
      <c r="A23" s="163">
        <v>1</v>
      </c>
      <c r="B23" s="163" t="s">
        <v>67</v>
      </c>
      <c r="C23" s="183" t="s">
        <v>101</v>
      </c>
      <c r="D23" s="163">
        <v>5.68</v>
      </c>
      <c r="E23" s="234"/>
      <c r="F23" s="234"/>
      <c r="G23" s="234"/>
      <c r="H23" s="234"/>
      <c r="I23" s="234"/>
    </row>
    <row r="24" spans="1:9" x14ac:dyDescent="0.35">
      <c r="A24" s="163">
        <v>1</v>
      </c>
      <c r="B24" s="163" t="s">
        <v>404</v>
      </c>
      <c r="C24" s="183" t="s">
        <v>101</v>
      </c>
      <c r="D24" s="163">
        <v>17.02</v>
      </c>
      <c r="E24" s="234"/>
      <c r="F24" s="234"/>
      <c r="G24" s="234"/>
      <c r="H24" s="234"/>
      <c r="I24" s="234"/>
    </row>
    <row r="25" spans="1:9" x14ac:dyDescent="0.35">
      <c r="A25" s="163">
        <v>1</v>
      </c>
      <c r="B25" s="163" t="s">
        <v>405</v>
      </c>
      <c r="C25" s="183" t="s">
        <v>101</v>
      </c>
      <c r="D25" s="163">
        <v>21.33</v>
      </c>
      <c r="E25" s="234"/>
      <c r="F25" s="234"/>
      <c r="G25" s="234"/>
      <c r="H25" s="234"/>
      <c r="I25" s="234"/>
    </row>
    <row r="26" spans="1:9" x14ac:dyDescent="0.35">
      <c r="A26" s="163">
        <v>1</v>
      </c>
      <c r="B26" s="163" t="s">
        <v>406</v>
      </c>
      <c r="C26" s="183" t="s">
        <v>101</v>
      </c>
      <c r="D26" s="163">
        <v>5.63</v>
      </c>
      <c r="E26" s="234"/>
      <c r="F26" s="234"/>
      <c r="G26" s="234"/>
      <c r="H26" s="234"/>
      <c r="I26" s="234"/>
    </row>
    <row r="27" spans="1:9" x14ac:dyDescent="0.35">
      <c r="C27" s="182" t="s">
        <v>364</v>
      </c>
      <c r="D27" s="163">
        <f>SUM(D16:D26)</f>
        <v>454.36999999999995</v>
      </c>
      <c r="E27" s="234"/>
      <c r="F27" s="234"/>
      <c r="G27" s="234"/>
      <c r="H27" s="234"/>
      <c r="I27" s="234"/>
    </row>
  </sheetData>
  <mergeCells count="7">
    <mergeCell ref="E6:I27"/>
    <mergeCell ref="A14:D14"/>
    <mergeCell ref="A1:I1"/>
    <mergeCell ref="C2:F2"/>
    <mergeCell ref="C3:F3"/>
    <mergeCell ref="A5:I5"/>
    <mergeCell ref="C4:F4"/>
  </mergeCells>
  <pageMargins left="0.7" right="0.7" top="0.75" bottom="0.75" header="0.3" footer="0.3"/>
  <pageSetup paperSize="9" orientation="portrait" horizontalDpi="0" verticalDpi="0" r:id="rId1"/>
  <ignoredErrors>
    <ignoredError sqref="C16:C1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34"/>
  <sheetViews>
    <sheetView zoomScale="55" zoomScaleNormal="55" workbookViewId="0">
      <selection activeCell="E5" sqref="E5:I9"/>
    </sheetView>
  </sheetViews>
  <sheetFormatPr defaultRowHeight="18" x14ac:dyDescent="0.35"/>
  <cols>
    <col min="1" max="2" width="11.5546875" style="156" customWidth="1"/>
    <col min="3" max="3" width="17.109375" style="156" customWidth="1"/>
    <col min="4" max="4" width="14.109375" style="156" customWidth="1"/>
    <col min="5" max="5" width="2.21875" style="156" customWidth="1"/>
    <col min="6" max="6" width="3.6640625" style="156" customWidth="1"/>
    <col min="7" max="7" width="37.5546875" style="156" customWidth="1"/>
    <col min="8" max="8" width="12.5546875" style="156" customWidth="1"/>
    <col min="9" max="9" width="12.88671875" style="156" customWidth="1"/>
    <col min="10" max="16384" width="8.88671875" style="156"/>
  </cols>
  <sheetData>
    <row r="1" spans="1:13" x14ac:dyDescent="0.35">
      <c r="A1" s="219" t="s">
        <v>433</v>
      </c>
      <c r="B1" s="219"/>
      <c r="C1" s="219"/>
      <c r="D1" s="219"/>
      <c r="E1" s="219"/>
      <c r="F1" s="219"/>
      <c r="G1" s="219"/>
      <c r="H1" s="219"/>
      <c r="I1" s="219"/>
    </row>
    <row r="2" spans="1:13" ht="18" customHeight="1" x14ac:dyDescent="0.35">
      <c r="A2" s="180" t="s">
        <v>358</v>
      </c>
      <c r="B2" s="181" t="s">
        <v>365</v>
      </c>
      <c r="C2" s="224" t="s">
        <v>302</v>
      </c>
      <c r="D2" s="225"/>
      <c r="E2" s="225"/>
      <c r="F2" s="226"/>
      <c r="G2" s="167" t="s">
        <v>340</v>
      </c>
      <c r="H2" s="180" t="s">
        <v>2</v>
      </c>
      <c r="I2" s="158" t="s">
        <v>4</v>
      </c>
    </row>
    <row r="3" spans="1:13" ht="53.4" customHeight="1" x14ac:dyDescent="0.35">
      <c r="A3" s="180">
        <v>1</v>
      </c>
      <c r="B3" s="181">
        <v>109</v>
      </c>
      <c r="C3" s="227" t="s">
        <v>102</v>
      </c>
      <c r="D3" s="228"/>
      <c r="E3" s="228"/>
      <c r="F3" s="229"/>
      <c r="G3" s="167" t="s">
        <v>373</v>
      </c>
      <c r="H3" s="180" t="s">
        <v>7</v>
      </c>
      <c r="I3" s="159">
        <f>D9</f>
        <v>84.51</v>
      </c>
    </row>
    <row r="4" spans="1:13" x14ac:dyDescent="0.35">
      <c r="A4" s="217"/>
      <c r="B4" s="217"/>
      <c r="C4" s="217"/>
      <c r="D4" s="217"/>
      <c r="E4" s="217"/>
      <c r="F4" s="217"/>
      <c r="G4" s="217"/>
      <c r="H4" s="217"/>
      <c r="I4" s="217"/>
    </row>
    <row r="5" spans="1:13" x14ac:dyDescent="0.35">
      <c r="A5" s="163" t="s">
        <v>360</v>
      </c>
      <c r="B5" s="163" t="s">
        <v>367</v>
      </c>
      <c r="C5" s="163" t="s">
        <v>36</v>
      </c>
      <c r="D5" s="163" t="s">
        <v>361</v>
      </c>
      <c r="E5" s="233"/>
      <c r="F5" s="216"/>
      <c r="G5" s="216"/>
      <c r="H5" s="216"/>
      <c r="I5" s="216"/>
    </row>
    <row r="6" spans="1:13" x14ac:dyDescent="0.35">
      <c r="A6" s="163">
        <v>1</v>
      </c>
      <c r="B6" s="163" t="s">
        <v>377</v>
      </c>
      <c r="C6" s="183" t="s">
        <v>374</v>
      </c>
      <c r="D6" s="163">
        <v>25.93</v>
      </c>
      <c r="E6" s="233"/>
      <c r="F6" s="216"/>
      <c r="G6" s="216"/>
      <c r="H6" s="216"/>
      <c r="I6" s="216"/>
    </row>
    <row r="7" spans="1:13" x14ac:dyDescent="0.35">
      <c r="A7" s="163" t="s">
        <v>100</v>
      </c>
      <c r="B7" s="163" t="s">
        <v>378</v>
      </c>
      <c r="C7" s="183" t="s">
        <v>375</v>
      </c>
      <c r="D7" s="163">
        <v>29.32</v>
      </c>
      <c r="E7" s="233"/>
      <c r="F7" s="216"/>
      <c r="G7" s="216"/>
      <c r="H7" s="216"/>
      <c r="I7" s="216"/>
    </row>
    <row r="8" spans="1:13" x14ac:dyDescent="0.35">
      <c r="A8" s="163" t="s">
        <v>100</v>
      </c>
      <c r="B8" s="163" t="s">
        <v>379</v>
      </c>
      <c r="C8" s="183" t="s">
        <v>376</v>
      </c>
      <c r="D8" s="163">
        <v>29.26</v>
      </c>
      <c r="E8" s="233"/>
      <c r="F8" s="216"/>
      <c r="G8" s="216"/>
      <c r="H8" s="216"/>
      <c r="I8" s="216"/>
    </row>
    <row r="9" spans="1:13" x14ac:dyDescent="0.35">
      <c r="C9" s="182" t="s">
        <v>364</v>
      </c>
      <c r="D9" s="163">
        <f>SUM(D6:D8)</f>
        <v>84.51</v>
      </c>
      <c r="E9" s="233"/>
      <c r="F9" s="216"/>
      <c r="G9" s="216"/>
      <c r="H9" s="216"/>
      <c r="I9" s="216"/>
    </row>
    <row r="15" spans="1:13" x14ac:dyDescent="0.35">
      <c r="K15" s="185">
        <v>1</v>
      </c>
      <c r="L15" s="156">
        <v>1</v>
      </c>
      <c r="M15" s="185" t="s">
        <v>100</v>
      </c>
    </row>
    <row r="16" spans="1:13" x14ac:dyDescent="0.35">
      <c r="K16" s="185">
        <v>5</v>
      </c>
      <c r="L16" s="156">
        <v>1.65</v>
      </c>
      <c r="M16" s="156">
        <v>2.2400000000000002</v>
      </c>
    </row>
    <row r="17" spans="1:13" x14ac:dyDescent="0.35">
      <c r="A17" s="156">
        <v>1</v>
      </c>
      <c r="B17" s="156" t="s">
        <v>380</v>
      </c>
      <c r="C17" s="156">
        <v>5</v>
      </c>
      <c r="D17" s="156">
        <v>5.24</v>
      </c>
      <c r="K17" s="185">
        <v>6</v>
      </c>
      <c r="L17" s="156">
        <v>13.62</v>
      </c>
      <c r="M17" s="156">
        <v>759.68</v>
      </c>
    </row>
    <row r="18" spans="1:13" x14ac:dyDescent="0.35">
      <c r="K18" s="185">
        <v>7</v>
      </c>
      <c r="L18" s="156">
        <v>43.82</v>
      </c>
      <c r="M18" s="156">
        <v>61.15</v>
      </c>
    </row>
    <row r="19" spans="1:13" x14ac:dyDescent="0.35">
      <c r="K19" s="185" t="s">
        <v>381</v>
      </c>
      <c r="L19" s="156">
        <v>0</v>
      </c>
      <c r="M19" s="156">
        <v>23.92</v>
      </c>
    </row>
    <row r="20" spans="1:13" x14ac:dyDescent="0.35">
      <c r="K20" s="185" t="s">
        <v>382</v>
      </c>
      <c r="L20" s="156">
        <v>8.5500000000000007</v>
      </c>
      <c r="M20" s="156">
        <v>0</v>
      </c>
    </row>
    <row r="21" spans="1:13" x14ac:dyDescent="0.35">
      <c r="K21" s="185" t="s">
        <v>383</v>
      </c>
      <c r="L21" s="156">
        <v>936.68</v>
      </c>
      <c r="M21" s="156">
        <v>453.05</v>
      </c>
    </row>
    <row r="22" spans="1:13" x14ac:dyDescent="0.35">
      <c r="K22" s="185" t="s">
        <v>384</v>
      </c>
    </row>
    <row r="23" spans="1:13" x14ac:dyDescent="0.35">
      <c r="K23" s="185"/>
    </row>
    <row r="24" spans="1:13" x14ac:dyDescent="0.35">
      <c r="K24" s="185"/>
    </row>
    <row r="27" spans="1:13" x14ac:dyDescent="0.35">
      <c r="K27" s="185" t="s">
        <v>385</v>
      </c>
      <c r="L27" s="156">
        <v>1</v>
      </c>
      <c r="M27" s="185" t="s">
        <v>100</v>
      </c>
    </row>
    <row r="28" spans="1:13" x14ac:dyDescent="0.35">
      <c r="K28" s="185">
        <v>5</v>
      </c>
      <c r="L28" s="156">
        <v>1.52</v>
      </c>
      <c r="M28" s="156">
        <v>2.2799999999999998</v>
      </c>
    </row>
    <row r="29" spans="1:13" x14ac:dyDescent="0.35">
      <c r="K29" s="185">
        <v>6</v>
      </c>
      <c r="L29" s="156">
        <v>13.62</v>
      </c>
      <c r="M29" s="156">
        <v>76.59</v>
      </c>
    </row>
    <row r="30" spans="1:13" x14ac:dyDescent="0.35">
      <c r="K30" s="185">
        <v>7</v>
      </c>
    </row>
    <row r="31" spans="1:13" x14ac:dyDescent="0.35">
      <c r="K31" s="185" t="s">
        <v>381</v>
      </c>
    </row>
    <row r="32" spans="1:13" x14ac:dyDescent="0.35">
      <c r="K32" s="185" t="s">
        <v>382</v>
      </c>
    </row>
    <row r="33" spans="11:11" x14ac:dyDescent="0.35">
      <c r="K33" s="185" t="s">
        <v>383</v>
      </c>
    </row>
    <row r="34" spans="11:11" x14ac:dyDescent="0.35">
      <c r="K34" s="185" t="s">
        <v>384</v>
      </c>
    </row>
  </sheetData>
  <mergeCells count="5">
    <mergeCell ref="A1:I1"/>
    <mergeCell ref="C2:F2"/>
    <mergeCell ref="C3:F3"/>
    <mergeCell ref="A4:I4"/>
    <mergeCell ref="E5:I9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I7"/>
  <sheetViews>
    <sheetView zoomScale="55" zoomScaleNormal="55" workbookViewId="0">
      <selection activeCell="G22" sqref="G22"/>
    </sheetView>
  </sheetViews>
  <sheetFormatPr defaultRowHeight="18" x14ac:dyDescent="0.35"/>
  <cols>
    <col min="1" max="2" width="11.5546875" style="156" customWidth="1"/>
    <col min="3" max="3" width="17.109375" style="156" customWidth="1"/>
    <col min="4" max="4" width="14.109375" style="156" customWidth="1"/>
    <col min="5" max="5" width="2.21875" style="156" customWidth="1"/>
    <col min="6" max="6" width="3.6640625" style="156" customWidth="1"/>
    <col min="7" max="7" width="21" style="156" customWidth="1"/>
    <col min="8" max="8" width="12.5546875" style="156" customWidth="1"/>
    <col min="9" max="9" width="12.88671875" style="156" customWidth="1"/>
    <col min="10" max="16384" width="8.88671875" style="156"/>
  </cols>
  <sheetData>
    <row r="1" spans="1:9" x14ac:dyDescent="0.35">
      <c r="A1" s="219" t="s">
        <v>433</v>
      </c>
      <c r="B1" s="219"/>
      <c r="C1" s="219"/>
      <c r="D1" s="219"/>
      <c r="E1" s="219"/>
      <c r="F1" s="219"/>
      <c r="G1" s="219"/>
      <c r="H1" s="219"/>
      <c r="I1" s="219"/>
    </row>
    <row r="2" spans="1:9" ht="18" customHeight="1" x14ac:dyDescent="0.35">
      <c r="A2" s="180" t="s">
        <v>358</v>
      </c>
      <c r="B2" s="181" t="s">
        <v>365</v>
      </c>
      <c r="C2" s="224" t="s">
        <v>302</v>
      </c>
      <c r="D2" s="225"/>
      <c r="E2" s="225"/>
      <c r="F2" s="226"/>
      <c r="G2" s="167" t="s">
        <v>340</v>
      </c>
      <c r="H2" s="180" t="s">
        <v>2</v>
      </c>
      <c r="I2" s="158" t="s">
        <v>4</v>
      </c>
    </row>
    <row r="3" spans="1:9" ht="73.2" customHeight="1" x14ac:dyDescent="0.35">
      <c r="A3" s="180">
        <v>1</v>
      </c>
      <c r="B3" s="181">
        <v>111</v>
      </c>
      <c r="C3" s="227" t="s">
        <v>185</v>
      </c>
      <c r="D3" s="228"/>
      <c r="E3" s="228"/>
      <c r="F3" s="229"/>
      <c r="G3" s="167" t="s">
        <v>372</v>
      </c>
      <c r="H3" s="180" t="s">
        <v>7</v>
      </c>
      <c r="I3" s="159">
        <f>D7</f>
        <v>46.62</v>
      </c>
    </row>
    <row r="4" spans="1:9" x14ac:dyDescent="0.35">
      <c r="A4" s="217"/>
      <c r="B4" s="217"/>
      <c r="C4" s="217"/>
      <c r="D4" s="217"/>
      <c r="E4" s="217"/>
      <c r="F4" s="217"/>
      <c r="G4" s="217"/>
      <c r="H4" s="217"/>
      <c r="I4" s="217"/>
    </row>
    <row r="5" spans="1:9" x14ac:dyDescent="0.35">
      <c r="A5" s="163" t="s">
        <v>360</v>
      </c>
      <c r="B5" s="163" t="s">
        <v>367</v>
      </c>
      <c r="C5" s="163" t="s">
        <v>36</v>
      </c>
      <c r="D5" s="163" t="s">
        <v>361</v>
      </c>
      <c r="E5" s="233"/>
      <c r="F5" s="216"/>
      <c r="G5" s="216"/>
      <c r="H5" s="216"/>
      <c r="I5" s="216"/>
    </row>
    <row r="6" spans="1:9" x14ac:dyDescent="0.35">
      <c r="A6" s="163" t="s">
        <v>100</v>
      </c>
      <c r="B6" s="163" t="s">
        <v>369</v>
      </c>
      <c r="C6" s="183" t="s">
        <v>370</v>
      </c>
      <c r="D6" s="163">
        <v>46.62</v>
      </c>
      <c r="E6" s="233"/>
      <c r="F6" s="216"/>
      <c r="G6" s="216"/>
      <c r="H6" s="216"/>
      <c r="I6" s="216"/>
    </row>
    <row r="7" spans="1:9" x14ac:dyDescent="0.35">
      <c r="C7" s="182" t="s">
        <v>364</v>
      </c>
      <c r="D7" s="163">
        <f>SUM(D6:D6)</f>
        <v>46.62</v>
      </c>
      <c r="E7" s="233"/>
      <c r="F7" s="216"/>
      <c r="G7" s="216"/>
      <c r="H7" s="216"/>
      <c r="I7" s="216"/>
    </row>
  </sheetData>
  <mergeCells count="5">
    <mergeCell ref="A1:I1"/>
    <mergeCell ref="C2:F2"/>
    <mergeCell ref="C3:F3"/>
    <mergeCell ref="A4:I4"/>
    <mergeCell ref="E5:I7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I9"/>
  <sheetViews>
    <sheetView zoomScale="55" zoomScaleNormal="55" workbookViewId="0">
      <selection activeCell="E5" sqref="A1:I9"/>
    </sheetView>
  </sheetViews>
  <sheetFormatPr defaultRowHeight="18" x14ac:dyDescent="0.35"/>
  <cols>
    <col min="1" max="2" width="11.5546875" style="156" customWidth="1"/>
    <col min="3" max="3" width="17.109375" style="156" customWidth="1"/>
    <col min="4" max="5" width="14.109375" style="156" customWidth="1"/>
    <col min="6" max="6" width="9.88671875" style="156" customWidth="1"/>
    <col min="7" max="7" width="18.33203125" style="156" customWidth="1"/>
    <col min="8" max="8" width="12.5546875" style="156" customWidth="1"/>
    <col min="9" max="9" width="12.88671875" style="156" customWidth="1"/>
    <col min="10" max="16384" width="8.88671875" style="156"/>
  </cols>
  <sheetData>
    <row r="1" spans="1:9" x14ac:dyDescent="0.35">
      <c r="A1" s="219" t="s">
        <v>433</v>
      </c>
      <c r="B1" s="219"/>
      <c r="C1" s="219"/>
      <c r="D1" s="219"/>
      <c r="E1" s="219"/>
      <c r="F1" s="219"/>
      <c r="G1" s="219"/>
      <c r="H1" s="219"/>
      <c r="I1" s="219"/>
    </row>
    <row r="2" spans="1:9" ht="18" customHeight="1" x14ac:dyDescent="0.35">
      <c r="A2" s="178" t="s">
        <v>358</v>
      </c>
      <c r="B2" s="179" t="s">
        <v>365</v>
      </c>
      <c r="C2" s="224" t="s">
        <v>302</v>
      </c>
      <c r="D2" s="225"/>
      <c r="E2" s="225"/>
      <c r="F2" s="226"/>
      <c r="G2" s="167" t="s">
        <v>340</v>
      </c>
      <c r="H2" s="178" t="s">
        <v>2</v>
      </c>
      <c r="I2" s="158" t="s">
        <v>4</v>
      </c>
    </row>
    <row r="3" spans="1:9" ht="73.2" customHeight="1" x14ac:dyDescent="0.35">
      <c r="A3" s="178">
        <v>1</v>
      </c>
      <c r="B3" s="179">
        <v>202</v>
      </c>
      <c r="C3" s="227" t="s">
        <v>366</v>
      </c>
      <c r="D3" s="228"/>
      <c r="E3" s="228"/>
      <c r="F3" s="229"/>
      <c r="G3" s="167" t="s">
        <v>371</v>
      </c>
      <c r="H3" s="178" t="s">
        <v>7</v>
      </c>
      <c r="I3" s="159">
        <f>D9</f>
        <v>487.97</v>
      </c>
    </row>
    <row r="4" spans="1:9" x14ac:dyDescent="0.35">
      <c r="A4" s="217"/>
      <c r="B4" s="217"/>
      <c r="C4" s="217"/>
      <c r="D4" s="217"/>
      <c r="E4" s="217"/>
      <c r="F4" s="217"/>
      <c r="G4" s="217"/>
      <c r="H4" s="217"/>
      <c r="I4" s="217"/>
    </row>
    <row r="5" spans="1:9" x14ac:dyDescent="0.35">
      <c r="A5" s="163" t="s">
        <v>360</v>
      </c>
      <c r="B5" s="163" t="s">
        <v>367</v>
      </c>
      <c r="C5" s="163" t="s">
        <v>36</v>
      </c>
      <c r="D5" s="163" t="s">
        <v>361</v>
      </c>
      <c r="E5" s="233"/>
      <c r="F5" s="216"/>
      <c r="G5" s="216"/>
      <c r="H5" s="216"/>
      <c r="I5" s="216"/>
    </row>
    <row r="6" spans="1:9" x14ac:dyDescent="0.35">
      <c r="A6" s="163" t="s">
        <v>100</v>
      </c>
      <c r="B6" s="163" t="s">
        <v>368</v>
      </c>
      <c r="C6" s="163">
        <v>6</v>
      </c>
      <c r="D6" s="163">
        <v>433.72</v>
      </c>
      <c r="E6" s="233"/>
      <c r="F6" s="216"/>
      <c r="G6" s="216"/>
      <c r="H6" s="216"/>
      <c r="I6" s="216"/>
    </row>
    <row r="7" spans="1:9" x14ac:dyDescent="0.35">
      <c r="A7" s="163" t="s">
        <v>100</v>
      </c>
      <c r="B7" s="163" t="s">
        <v>369</v>
      </c>
      <c r="C7" s="163">
        <v>7</v>
      </c>
      <c r="D7" s="163">
        <v>7.73</v>
      </c>
      <c r="E7" s="233"/>
      <c r="F7" s="216"/>
      <c r="G7" s="216"/>
      <c r="H7" s="216"/>
      <c r="I7" s="216"/>
    </row>
    <row r="8" spans="1:9" x14ac:dyDescent="0.35">
      <c r="A8" s="163" t="s">
        <v>100</v>
      </c>
      <c r="B8" s="163" t="s">
        <v>369</v>
      </c>
      <c r="C8" s="183" t="s">
        <v>370</v>
      </c>
      <c r="D8" s="163">
        <v>46.52</v>
      </c>
      <c r="E8" s="233"/>
      <c r="F8" s="216"/>
      <c r="G8" s="216"/>
      <c r="H8" s="216"/>
      <c r="I8" s="216"/>
    </row>
    <row r="9" spans="1:9" x14ac:dyDescent="0.35">
      <c r="C9" s="182" t="s">
        <v>364</v>
      </c>
      <c r="D9" s="163">
        <f>SUM(D6:D8)</f>
        <v>487.97</v>
      </c>
      <c r="E9" s="233"/>
      <c r="F9" s="216"/>
      <c r="G9" s="216"/>
      <c r="H9" s="216"/>
      <c r="I9" s="216"/>
    </row>
  </sheetData>
  <mergeCells count="5">
    <mergeCell ref="A1:I1"/>
    <mergeCell ref="C2:F2"/>
    <mergeCell ref="C3:F3"/>
    <mergeCell ref="A4:I4"/>
    <mergeCell ref="E5:I9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85" zoomScaleNormal="85" workbookViewId="0">
      <selection activeCell="F30" sqref="F30"/>
    </sheetView>
  </sheetViews>
  <sheetFormatPr defaultRowHeight="14.4" x14ac:dyDescent="0.3"/>
  <cols>
    <col min="1" max="1" width="7" style="11" customWidth="1"/>
    <col min="2" max="2" width="11.109375" style="11" customWidth="1"/>
    <col min="3" max="6" width="8.6640625" style="11" customWidth="1"/>
    <col min="7" max="7" width="8.6640625" style="37" customWidth="1"/>
    <col min="8" max="11" width="0" hidden="1" customWidth="1"/>
  </cols>
  <sheetData>
    <row r="1" spans="1:11" x14ac:dyDescent="0.3">
      <c r="A1" s="215" t="s">
        <v>48</v>
      </c>
      <c r="B1" s="215"/>
      <c r="C1" s="215"/>
      <c r="D1" s="215"/>
      <c r="E1" s="215"/>
      <c r="F1" s="215"/>
      <c r="G1" s="215"/>
    </row>
    <row r="2" spans="1:11" x14ac:dyDescent="0.3">
      <c r="A2" s="10"/>
      <c r="B2" s="34" t="s">
        <v>93</v>
      </c>
      <c r="C2" s="48">
        <v>6.1</v>
      </c>
      <c r="D2" s="42">
        <v>7.2</v>
      </c>
      <c r="E2" s="39">
        <v>8.3000000000000007</v>
      </c>
      <c r="F2" s="45">
        <v>9.1999999999999993</v>
      </c>
      <c r="G2" s="35" t="s">
        <v>49</v>
      </c>
      <c r="H2" s="38">
        <v>4.4000000000000004</v>
      </c>
      <c r="I2" s="38">
        <v>11</v>
      </c>
      <c r="J2" s="38">
        <v>11.1</v>
      </c>
    </row>
    <row r="3" spans="1:11" x14ac:dyDescent="0.3">
      <c r="A3" s="10" t="s">
        <v>0</v>
      </c>
      <c r="B3" s="36" t="s">
        <v>50</v>
      </c>
      <c r="C3" s="49" t="s">
        <v>51</v>
      </c>
      <c r="D3" s="43" t="s">
        <v>51</v>
      </c>
      <c r="E3" s="40" t="s">
        <v>51</v>
      </c>
      <c r="F3" s="46" t="s">
        <v>51</v>
      </c>
      <c r="G3" s="25" t="s">
        <v>51</v>
      </c>
    </row>
    <row r="4" spans="1:11" x14ac:dyDescent="0.3">
      <c r="A4" s="10">
        <v>1</v>
      </c>
      <c r="B4" s="54">
        <v>3.0059999999999998</v>
      </c>
      <c r="C4" s="50">
        <v>13.62</v>
      </c>
      <c r="D4" s="44"/>
      <c r="E4" s="41"/>
      <c r="F4" s="47"/>
      <c r="G4" s="25">
        <f t="shared" ref="G4:G23" si="0">SUM(C4:F4)</f>
        <v>13.62</v>
      </c>
      <c r="K4">
        <v>1</v>
      </c>
    </row>
    <row r="5" spans="1:11" x14ac:dyDescent="0.3">
      <c r="A5" s="10">
        <v>2</v>
      </c>
      <c r="B5" s="54">
        <v>3.0939999999999999</v>
      </c>
      <c r="C5" s="50">
        <v>15.07</v>
      </c>
      <c r="D5" s="44"/>
      <c r="E5" s="41"/>
      <c r="F5" s="47"/>
      <c r="G5" s="25">
        <f t="shared" si="0"/>
        <v>15.07</v>
      </c>
      <c r="K5">
        <v>4.0999999999999996</v>
      </c>
    </row>
    <row r="6" spans="1:11" x14ac:dyDescent="0.3">
      <c r="A6" s="10">
        <v>3</v>
      </c>
      <c r="B6" s="54">
        <v>3.0150000000000001</v>
      </c>
      <c r="C6" s="50"/>
      <c r="D6" s="44">
        <v>17.21</v>
      </c>
      <c r="E6" s="41"/>
      <c r="F6" s="47"/>
      <c r="G6" s="25">
        <f t="shared" si="0"/>
        <v>17.21</v>
      </c>
      <c r="K6">
        <v>1</v>
      </c>
    </row>
    <row r="7" spans="1:11" x14ac:dyDescent="0.3">
      <c r="A7" s="10">
        <v>4</v>
      </c>
      <c r="B7" s="54">
        <v>3.016</v>
      </c>
      <c r="C7" s="50"/>
      <c r="D7" s="44">
        <v>21.12</v>
      </c>
      <c r="E7" s="41"/>
      <c r="F7" s="47"/>
      <c r="G7" s="25">
        <f t="shared" si="0"/>
        <v>21.12</v>
      </c>
      <c r="K7">
        <v>1</v>
      </c>
    </row>
    <row r="8" spans="1:11" x14ac:dyDescent="0.3">
      <c r="A8" s="10">
        <v>5</v>
      </c>
      <c r="B8" s="54">
        <v>3.0169999999999999</v>
      </c>
      <c r="C8" s="50"/>
      <c r="D8" s="44">
        <v>5.0599999999999996</v>
      </c>
      <c r="E8" s="41"/>
      <c r="F8" s="47"/>
      <c r="G8" s="25">
        <f t="shared" si="0"/>
        <v>5.0599999999999996</v>
      </c>
      <c r="K8">
        <v>1</v>
      </c>
    </row>
    <row r="9" spans="1:11" x14ac:dyDescent="0.3">
      <c r="A9" s="10">
        <v>6</v>
      </c>
      <c r="B9" s="54">
        <v>3.0179999999999998</v>
      </c>
      <c r="C9" s="50"/>
      <c r="D9" s="44"/>
      <c r="E9" s="41">
        <v>5.0599999999999996</v>
      </c>
      <c r="F9" s="47"/>
      <c r="G9" s="25">
        <f t="shared" si="0"/>
        <v>5.0599999999999996</v>
      </c>
      <c r="K9">
        <v>1</v>
      </c>
    </row>
    <row r="10" spans="1:11" x14ac:dyDescent="0.3">
      <c r="A10" s="10">
        <v>7</v>
      </c>
      <c r="B10" s="54">
        <v>3.0920000000000001</v>
      </c>
      <c r="C10" s="50"/>
      <c r="D10" s="44"/>
      <c r="E10" s="41">
        <v>5.24</v>
      </c>
      <c r="F10" s="47"/>
      <c r="G10" s="25">
        <f t="shared" si="0"/>
        <v>5.24</v>
      </c>
      <c r="K10">
        <v>1</v>
      </c>
    </row>
    <row r="11" spans="1:11" x14ac:dyDescent="0.3">
      <c r="A11" s="10">
        <v>8</v>
      </c>
      <c r="B11" s="54">
        <v>3.0209999999999999</v>
      </c>
      <c r="C11" s="50"/>
      <c r="D11" s="44"/>
      <c r="E11" s="41">
        <v>15.62</v>
      </c>
      <c r="F11" s="47"/>
      <c r="G11" s="25">
        <f t="shared" si="0"/>
        <v>15.62</v>
      </c>
      <c r="K11">
        <v>4.0999999999999996</v>
      </c>
    </row>
    <row r="12" spans="1:11" x14ac:dyDescent="0.3">
      <c r="A12" s="107">
        <v>9</v>
      </c>
      <c r="B12" s="54">
        <v>3.004</v>
      </c>
      <c r="C12" s="50"/>
      <c r="D12" s="44"/>
      <c r="E12" s="41"/>
      <c r="F12" s="47">
        <v>67.59</v>
      </c>
      <c r="G12" s="25">
        <f t="shared" si="0"/>
        <v>67.59</v>
      </c>
      <c r="K12">
        <v>1</v>
      </c>
    </row>
    <row r="13" spans="1:11" x14ac:dyDescent="0.3">
      <c r="A13" s="107">
        <v>10</v>
      </c>
      <c r="B13" s="54">
        <v>3.008</v>
      </c>
      <c r="C13" s="50"/>
      <c r="D13" s="44"/>
      <c r="E13" s="41"/>
      <c r="F13" s="47">
        <v>67.84</v>
      </c>
      <c r="G13" s="25">
        <f t="shared" si="0"/>
        <v>67.84</v>
      </c>
      <c r="K13">
        <v>1</v>
      </c>
    </row>
    <row r="14" spans="1:11" x14ac:dyDescent="0.3">
      <c r="A14" s="107">
        <v>11</v>
      </c>
      <c r="B14" s="54">
        <v>3.0089999999999999</v>
      </c>
      <c r="C14" s="50"/>
      <c r="D14" s="44"/>
      <c r="E14" s="41"/>
      <c r="F14" s="47">
        <v>68</v>
      </c>
      <c r="G14" s="25">
        <f t="shared" si="0"/>
        <v>68</v>
      </c>
      <c r="K14">
        <v>1</v>
      </c>
    </row>
    <row r="15" spans="1:11" x14ac:dyDescent="0.3">
      <c r="A15" s="107">
        <v>12</v>
      </c>
      <c r="B15" s="54">
        <v>3.01</v>
      </c>
      <c r="C15" s="50"/>
      <c r="D15" s="44"/>
      <c r="E15" s="41"/>
      <c r="F15" s="47">
        <v>68</v>
      </c>
      <c r="G15" s="25">
        <f t="shared" si="0"/>
        <v>68</v>
      </c>
      <c r="K15">
        <v>1</v>
      </c>
    </row>
    <row r="16" spans="1:11" x14ac:dyDescent="0.3">
      <c r="A16" s="107">
        <v>13</v>
      </c>
      <c r="B16" s="54">
        <v>3.0110000000000001</v>
      </c>
      <c r="C16" s="50"/>
      <c r="D16" s="44"/>
      <c r="E16" s="41"/>
      <c r="F16" s="47">
        <v>67.14</v>
      </c>
      <c r="G16" s="25">
        <f t="shared" si="0"/>
        <v>67.14</v>
      </c>
      <c r="K16">
        <v>1</v>
      </c>
    </row>
    <row r="17" spans="1:11" x14ac:dyDescent="0.3">
      <c r="A17" s="107">
        <v>14</v>
      </c>
      <c r="B17" s="54">
        <v>3.012</v>
      </c>
      <c r="C17" s="50"/>
      <c r="D17" s="44"/>
      <c r="E17" s="41"/>
      <c r="F17" s="47">
        <v>68</v>
      </c>
      <c r="G17" s="25">
        <f t="shared" si="0"/>
        <v>68</v>
      </c>
      <c r="K17">
        <v>1</v>
      </c>
    </row>
    <row r="18" spans="1:11" x14ac:dyDescent="0.3">
      <c r="A18" s="107">
        <v>15</v>
      </c>
      <c r="B18" s="54">
        <v>3.0129999999999999</v>
      </c>
      <c r="C18" s="50"/>
      <c r="D18" s="44"/>
      <c r="E18" s="41"/>
      <c r="F18" s="47">
        <v>68</v>
      </c>
      <c r="G18" s="25">
        <f t="shared" si="0"/>
        <v>68</v>
      </c>
      <c r="K18">
        <v>1</v>
      </c>
    </row>
    <row r="19" spans="1:11" x14ac:dyDescent="0.3">
      <c r="A19" s="107">
        <v>16</v>
      </c>
      <c r="B19" s="54">
        <v>3.0139999999999998</v>
      </c>
      <c r="C19" s="50"/>
      <c r="D19" s="44"/>
      <c r="E19" s="41"/>
      <c r="F19" s="47">
        <v>148.61000000000001</v>
      </c>
      <c r="G19" s="25">
        <f t="shared" si="0"/>
        <v>148.61000000000001</v>
      </c>
      <c r="K19">
        <v>1</v>
      </c>
    </row>
    <row r="20" spans="1:11" x14ac:dyDescent="0.3">
      <c r="A20" s="107">
        <v>17</v>
      </c>
      <c r="B20" s="8">
        <v>3.0190000000000001</v>
      </c>
      <c r="C20" s="50"/>
      <c r="D20" s="44"/>
      <c r="E20" s="41"/>
      <c r="F20" s="47">
        <v>244.28</v>
      </c>
      <c r="G20" s="25">
        <f t="shared" si="0"/>
        <v>244.28</v>
      </c>
      <c r="K20">
        <v>4.0999999999999996</v>
      </c>
    </row>
    <row r="21" spans="1:11" x14ac:dyDescent="0.3">
      <c r="A21" s="107">
        <v>18</v>
      </c>
      <c r="B21" s="54">
        <v>3.02</v>
      </c>
      <c r="C21" s="50"/>
      <c r="D21" s="44"/>
      <c r="E21" s="41"/>
      <c r="F21" s="47">
        <v>137.72999999999999</v>
      </c>
      <c r="G21" s="25">
        <f t="shared" si="0"/>
        <v>137.72999999999999</v>
      </c>
      <c r="K21">
        <v>4.0999999999999996</v>
      </c>
    </row>
    <row r="22" spans="1:11" x14ac:dyDescent="0.3">
      <c r="A22" s="107">
        <v>19</v>
      </c>
      <c r="B22" s="54">
        <v>3.085</v>
      </c>
      <c r="C22" s="50"/>
      <c r="D22" s="44"/>
      <c r="E22" s="41"/>
      <c r="F22" s="47">
        <v>13.16</v>
      </c>
      <c r="G22" s="25">
        <f t="shared" si="0"/>
        <v>13.16</v>
      </c>
      <c r="K22">
        <v>4.0999999999999996</v>
      </c>
    </row>
    <row r="23" spans="1:11" x14ac:dyDescent="0.3">
      <c r="A23" s="107">
        <v>20</v>
      </c>
      <c r="B23" s="54" t="s">
        <v>94</v>
      </c>
      <c r="C23" s="50"/>
      <c r="D23" s="44"/>
      <c r="E23" s="41"/>
      <c r="F23" s="47">
        <v>140.80000000000001</v>
      </c>
      <c r="G23" s="25">
        <f t="shared" si="0"/>
        <v>140.80000000000001</v>
      </c>
      <c r="K23">
        <v>4.0999999999999996</v>
      </c>
    </row>
    <row r="24" spans="1:11" x14ac:dyDescent="0.3">
      <c r="A24" s="10"/>
      <c r="B24" s="10" t="s">
        <v>52</v>
      </c>
      <c r="C24" s="50">
        <f>SUM(C4:C23)</f>
        <v>28.689999999999998</v>
      </c>
      <c r="D24" s="44">
        <f>SUM(D4:D23)</f>
        <v>43.39</v>
      </c>
      <c r="E24" s="41">
        <f>SUM(E4:E23)</f>
        <v>25.92</v>
      </c>
      <c r="F24" s="47">
        <f>SUM(F4:F23)</f>
        <v>1159.1500000000001</v>
      </c>
      <c r="G24" s="25">
        <f>SUM(G4:G23)</f>
        <v>1257.1499999999999</v>
      </c>
    </row>
    <row r="25" spans="1:11" x14ac:dyDescent="0.3">
      <c r="B25" s="13"/>
      <c r="H25">
        <v>0</v>
      </c>
    </row>
    <row r="26" spans="1:11" x14ac:dyDescent="0.3">
      <c r="I26">
        <v>0</v>
      </c>
    </row>
    <row r="27" spans="1:11" x14ac:dyDescent="0.3">
      <c r="J27"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18" zoomScale="115" zoomScaleNormal="115" workbookViewId="0">
      <selection activeCell="A45" sqref="A1:XFD45"/>
    </sheetView>
  </sheetViews>
  <sheetFormatPr defaultRowHeight="14.4" x14ac:dyDescent="0.3"/>
  <cols>
    <col min="1" max="1" width="7.5546875" style="11" customWidth="1"/>
    <col min="2" max="2" width="50.33203125" style="12" customWidth="1"/>
    <col min="3" max="3" width="13.5546875" style="12" customWidth="1"/>
    <col min="4" max="4" width="9.109375" style="11" customWidth="1"/>
    <col min="5" max="5" width="14.5546875" style="13" customWidth="1"/>
    <col min="6" max="6" width="8.88671875" style="14" customWidth="1"/>
    <col min="7" max="9" width="0" hidden="1" customWidth="1"/>
  </cols>
  <sheetData>
    <row r="1" spans="1:9" x14ac:dyDescent="0.3">
      <c r="A1" s="1"/>
      <c r="B1" s="2" t="s">
        <v>9</v>
      </c>
      <c r="C1" s="15"/>
      <c r="D1" s="3"/>
      <c r="E1" s="4"/>
      <c r="F1" s="5"/>
      <c r="G1" s="16"/>
    </row>
    <row r="2" spans="1:9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9" ht="26.4" x14ac:dyDescent="0.3">
      <c r="A3" s="18" t="s">
        <v>29</v>
      </c>
      <c r="B3" s="19" t="s">
        <v>10</v>
      </c>
      <c r="C3" s="19" t="s">
        <v>37</v>
      </c>
      <c r="D3" s="20" t="s">
        <v>7</v>
      </c>
      <c r="E3" s="21">
        <v>1</v>
      </c>
      <c r="F3" s="22">
        <v>4905.38</v>
      </c>
      <c r="G3" s="23">
        <v>4905.38</v>
      </c>
      <c r="I3" s="32">
        <f t="shared" ref="I3:I43" si="0">F3-G3</f>
        <v>0</v>
      </c>
    </row>
    <row r="4" spans="1:9" x14ac:dyDescent="0.3">
      <c r="A4" s="24"/>
      <c r="B4" s="6" t="s">
        <v>11</v>
      </c>
      <c r="C4" s="6"/>
      <c r="D4" s="7" t="s">
        <v>6</v>
      </c>
      <c r="E4" s="8">
        <v>1.6</v>
      </c>
      <c r="F4" s="25">
        <f>E4*F3*10</f>
        <v>78486.080000000002</v>
      </c>
      <c r="G4" s="16">
        <v>78486.080000000002</v>
      </c>
      <c r="I4" s="32">
        <f t="shared" si="0"/>
        <v>0</v>
      </c>
    </row>
    <row r="5" spans="1:9" x14ac:dyDescent="0.3">
      <c r="A5" s="24"/>
      <c r="B5" s="6" t="s">
        <v>12</v>
      </c>
      <c r="C5" s="6"/>
      <c r="D5" s="7" t="s">
        <v>5</v>
      </c>
      <c r="E5" s="8">
        <v>1</v>
      </c>
      <c r="F5" s="25">
        <f>E5*F3</f>
        <v>4905.38</v>
      </c>
      <c r="G5" s="16">
        <v>4905.38</v>
      </c>
      <c r="I5" s="32">
        <f t="shared" si="0"/>
        <v>0</v>
      </c>
    </row>
    <row r="6" spans="1:9" ht="26.4" x14ac:dyDescent="0.3">
      <c r="A6" s="24"/>
      <c r="B6" s="26" t="s">
        <v>13</v>
      </c>
      <c r="C6" s="26"/>
      <c r="D6" s="7" t="s">
        <v>6</v>
      </c>
      <c r="E6" s="8">
        <v>0.255</v>
      </c>
      <c r="F6" s="25">
        <f>E6*F3</f>
        <v>1250.8719000000001</v>
      </c>
      <c r="G6" s="16">
        <v>1250.8720000000001</v>
      </c>
      <c r="I6" s="32">
        <f t="shared" si="0"/>
        <v>-9.9999999974897946E-5</v>
      </c>
    </row>
    <row r="7" spans="1:9" ht="52.8" x14ac:dyDescent="0.3">
      <c r="A7" s="18" t="s">
        <v>30</v>
      </c>
      <c r="B7" s="27" t="s">
        <v>14</v>
      </c>
      <c r="C7" s="27" t="s">
        <v>47</v>
      </c>
      <c r="D7" s="20" t="s">
        <v>7</v>
      </c>
      <c r="E7" s="21">
        <v>1</v>
      </c>
      <c r="F7" s="22">
        <v>2785.09</v>
      </c>
      <c r="G7" s="23">
        <v>2785.09</v>
      </c>
      <c r="I7" s="32">
        <f t="shared" si="0"/>
        <v>0</v>
      </c>
    </row>
    <row r="8" spans="1:9" x14ac:dyDescent="0.3">
      <c r="A8" s="24"/>
      <c r="B8" s="9" t="s">
        <v>15</v>
      </c>
      <c r="C8" s="9"/>
      <c r="D8" s="7" t="s">
        <v>7</v>
      </c>
      <c r="E8" s="8">
        <v>1.1000000000000001</v>
      </c>
      <c r="F8" s="25">
        <f>E8*F7</f>
        <v>3063.5990000000006</v>
      </c>
      <c r="G8" s="16">
        <v>3063.5990000000002</v>
      </c>
      <c r="I8" s="32">
        <f t="shared" si="0"/>
        <v>0</v>
      </c>
    </row>
    <row r="9" spans="1:9" ht="26.4" x14ac:dyDescent="0.3">
      <c r="A9" s="18" t="s">
        <v>31</v>
      </c>
      <c r="B9" s="27" t="s">
        <v>16</v>
      </c>
      <c r="C9" s="27" t="s">
        <v>38</v>
      </c>
      <c r="D9" s="20" t="s">
        <v>7</v>
      </c>
      <c r="E9" s="21">
        <v>1</v>
      </c>
      <c r="F9" s="22">
        <v>47.77</v>
      </c>
      <c r="G9" s="23">
        <v>47.77</v>
      </c>
      <c r="I9" s="32">
        <f t="shared" si="0"/>
        <v>0</v>
      </c>
    </row>
    <row r="10" spans="1:9" x14ac:dyDescent="0.3">
      <c r="A10" s="24"/>
      <c r="B10" s="6" t="s">
        <v>17</v>
      </c>
      <c r="C10" s="6"/>
      <c r="D10" s="7" t="s">
        <v>6</v>
      </c>
      <c r="E10" s="8">
        <v>0.3</v>
      </c>
      <c r="F10" s="25">
        <f>E10*F9</f>
        <v>14.331000000000001</v>
      </c>
      <c r="G10" s="16">
        <v>14.331</v>
      </c>
      <c r="I10" s="32">
        <f t="shared" si="0"/>
        <v>0</v>
      </c>
    </row>
    <row r="11" spans="1:9" x14ac:dyDescent="0.3">
      <c r="A11" s="24"/>
      <c r="B11" s="6" t="s">
        <v>18</v>
      </c>
      <c r="C11" s="33"/>
      <c r="D11" s="7" t="s">
        <v>6</v>
      </c>
      <c r="E11" s="8">
        <v>0.2</v>
      </c>
      <c r="F11" s="25">
        <f>E11*F9</f>
        <v>9.5540000000000003</v>
      </c>
      <c r="G11" s="16">
        <v>9.5540000000000003</v>
      </c>
      <c r="I11" s="32">
        <f t="shared" si="0"/>
        <v>0</v>
      </c>
    </row>
    <row r="12" spans="1:9" x14ac:dyDescent="0.3">
      <c r="A12" s="18" t="s">
        <v>32</v>
      </c>
      <c r="B12" s="27" t="s">
        <v>19</v>
      </c>
      <c r="C12" s="27" t="s">
        <v>39</v>
      </c>
      <c r="D12" s="20" t="s">
        <v>7</v>
      </c>
      <c r="E12" s="21">
        <v>1</v>
      </c>
      <c r="F12" s="22">
        <v>72.94</v>
      </c>
      <c r="G12" s="23">
        <v>72.94</v>
      </c>
      <c r="I12" s="32">
        <f t="shared" si="0"/>
        <v>0</v>
      </c>
    </row>
    <row r="13" spans="1:9" x14ac:dyDescent="0.3">
      <c r="A13" s="24"/>
      <c r="B13" s="6" t="s">
        <v>20</v>
      </c>
      <c r="C13" s="6"/>
      <c r="D13" s="7" t="s">
        <v>6</v>
      </c>
      <c r="E13" s="8">
        <v>0.6</v>
      </c>
      <c r="F13" s="25">
        <f>E13*F12</f>
        <v>43.763999999999996</v>
      </c>
      <c r="G13" s="16">
        <v>43.764000000000003</v>
      </c>
      <c r="I13" s="32">
        <f t="shared" si="0"/>
        <v>0</v>
      </c>
    </row>
    <row r="14" spans="1:9" ht="27" x14ac:dyDescent="0.3">
      <c r="A14" s="18" t="s">
        <v>33</v>
      </c>
      <c r="B14" s="28" t="s">
        <v>21</v>
      </c>
      <c r="C14" s="28" t="s">
        <v>40</v>
      </c>
      <c r="D14" s="20" t="s">
        <v>7</v>
      </c>
      <c r="E14" s="21">
        <v>1</v>
      </c>
      <c r="F14" s="22">
        <v>46.62</v>
      </c>
      <c r="G14" s="23">
        <v>46.62</v>
      </c>
      <c r="I14" s="32">
        <f t="shared" si="0"/>
        <v>0</v>
      </c>
    </row>
    <row r="15" spans="1:9" x14ac:dyDescent="0.3">
      <c r="A15" s="24"/>
      <c r="B15" s="6" t="s">
        <v>22</v>
      </c>
      <c r="C15" s="6"/>
      <c r="D15" s="7" t="s">
        <v>41</v>
      </c>
      <c r="E15" s="8">
        <v>8</v>
      </c>
      <c r="F15" s="25">
        <f>ROUND(E15*F14, 0)</f>
        <v>373</v>
      </c>
      <c r="G15" s="16">
        <v>372.96</v>
      </c>
      <c r="I15" s="32">
        <f t="shared" si="0"/>
        <v>4.0000000000020464E-2</v>
      </c>
    </row>
    <row r="16" spans="1:9" x14ac:dyDescent="0.3">
      <c r="A16" s="24"/>
      <c r="B16" s="6" t="s">
        <v>23</v>
      </c>
      <c r="C16" s="6"/>
      <c r="D16" s="7" t="s">
        <v>6</v>
      </c>
      <c r="E16" s="8">
        <v>1.8</v>
      </c>
      <c r="F16" s="25">
        <f>E16*F14*40</f>
        <v>3356.64</v>
      </c>
      <c r="G16" s="16">
        <v>3356.64</v>
      </c>
      <c r="H16">
        <f>G16/G14/E16</f>
        <v>40</v>
      </c>
      <c r="I16" s="32">
        <f t="shared" si="0"/>
        <v>0</v>
      </c>
    </row>
    <row r="17" spans="1:9" x14ac:dyDescent="0.3">
      <c r="A17" s="10"/>
      <c r="B17" s="9" t="s">
        <v>24</v>
      </c>
      <c r="C17" s="9"/>
      <c r="D17" s="10" t="s">
        <v>7</v>
      </c>
      <c r="E17" s="8">
        <v>1.1000000000000001</v>
      </c>
      <c r="F17" s="25">
        <f>E17*F14</f>
        <v>51.282000000000004</v>
      </c>
      <c r="G17" s="16">
        <v>51.281999999999996</v>
      </c>
      <c r="I17" s="32">
        <f t="shared" si="0"/>
        <v>0</v>
      </c>
    </row>
    <row r="18" spans="1:9" x14ac:dyDescent="0.3">
      <c r="A18" s="10"/>
      <c r="B18" s="9" t="s">
        <v>12</v>
      </c>
      <c r="C18" s="9"/>
      <c r="D18" s="10" t="s">
        <v>5</v>
      </c>
      <c r="E18" s="8">
        <v>1</v>
      </c>
      <c r="F18" s="25">
        <f>E18*F14</f>
        <v>46.62</v>
      </c>
      <c r="G18" s="16">
        <v>46.62</v>
      </c>
      <c r="I18" s="32">
        <f t="shared" si="0"/>
        <v>0</v>
      </c>
    </row>
    <row r="19" spans="1:9" ht="40.200000000000003" x14ac:dyDescent="0.3">
      <c r="A19" s="29" t="s">
        <v>34</v>
      </c>
      <c r="B19" s="28" t="s">
        <v>25</v>
      </c>
      <c r="C19" s="28" t="s">
        <v>42</v>
      </c>
      <c r="D19" s="29" t="s">
        <v>7</v>
      </c>
      <c r="E19" s="21">
        <v>1</v>
      </c>
      <c r="F19" s="22">
        <v>122.25</v>
      </c>
      <c r="G19" s="23">
        <v>122.25</v>
      </c>
      <c r="I19" s="32">
        <f t="shared" si="0"/>
        <v>0</v>
      </c>
    </row>
    <row r="20" spans="1:9" x14ac:dyDescent="0.3">
      <c r="A20" s="10"/>
      <c r="B20" s="9" t="s">
        <v>22</v>
      </c>
      <c r="C20" s="9"/>
      <c r="D20" s="10" t="s">
        <v>41</v>
      </c>
      <c r="E20" s="8">
        <v>8</v>
      </c>
      <c r="F20" s="25">
        <f>ROUND(E20*F19, 0)</f>
        <v>978</v>
      </c>
      <c r="G20" s="16">
        <v>978</v>
      </c>
      <c r="I20" s="32">
        <f t="shared" si="0"/>
        <v>0</v>
      </c>
    </row>
    <row r="21" spans="1:9" x14ac:dyDescent="0.3">
      <c r="A21" s="10"/>
      <c r="B21" s="30" t="s">
        <v>23</v>
      </c>
      <c r="C21" s="30"/>
      <c r="D21" s="10" t="s">
        <v>6</v>
      </c>
      <c r="E21" s="8">
        <v>1.8</v>
      </c>
      <c r="F21" s="25">
        <f>E21*F19*60</f>
        <v>13203</v>
      </c>
      <c r="G21" s="16">
        <v>13203</v>
      </c>
      <c r="H21">
        <f>G21/G19/E21</f>
        <v>60</v>
      </c>
      <c r="I21" s="32">
        <f t="shared" si="0"/>
        <v>0</v>
      </c>
    </row>
    <row r="22" spans="1:9" x14ac:dyDescent="0.3">
      <c r="A22" s="10"/>
      <c r="B22" s="9" t="s">
        <v>24</v>
      </c>
      <c r="C22" s="9"/>
      <c r="D22" s="10" t="s">
        <v>7</v>
      </c>
      <c r="E22" s="8">
        <v>1.1000000000000001</v>
      </c>
      <c r="F22" s="25">
        <f>E22*F19</f>
        <v>134.47500000000002</v>
      </c>
      <c r="G22" s="16">
        <v>134.47499999999999</v>
      </c>
      <c r="I22" s="32">
        <f t="shared" si="0"/>
        <v>0</v>
      </c>
    </row>
    <row r="23" spans="1:9" x14ac:dyDescent="0.3">
      <c r="A23" s="10"/>
      <c r="B23" s="9" t="s">
        <v>12</v>
      </c>
      <c r="C23" s="9"/>
      <c r="D23" s="10" t="s">
        <v>5</v>
      </c>
      <c r="E23" s="8">
        <v>1</v>
      </c>
      <c r="F23" s="25">
        <f>E23*F19</f>
        <v>122.25</v>
      </c>
      <c r="G23" s="16">
        <v>122.25</v>
      </c>
      <c r="I23" s="32">
        <f t="shared" si="0"/>
        <v>0</v>
      </c>
    </row>
    <row r="24" spans="1:9" ht="40.200000000000003" x14ac:dyDescent="0.3">
      <c r="A24" s="29" t="s">
        <v>35</v>
      </c>
      <c r="B24" s="28" t="s">
        <v>26</v>
      </c>
      <c r="C24" s="28" t="s">
        <v>43</v>
      </c>
      <c r="D24" s="29" t="s">
        <v>7</v>
      </c>
      <c r="E24" s="21">
        <v>1</v>
      </c>
      <c r="F24" s="22">
        <v>5553.92</v>
      </c>
      <c r="G24" s="23">
        <v>5553.92</v>
      </c>
      <c r="I24" s="32">
        <f t="shared" si="0"/>
        <v>0</v>
      </c>
    </row>
    <row r="25" spans="1:9" x14ac:dyDescent="0.3">
      <c r="A25" s="10"/>
      <c r="B25" s="9" t="s">
        <v>22</v>
      </c>
      <c r="C25" s="9"/>
      <c r="D25" s="10" t="s">
        <v>41</v>
      </c>
      <c r="E25" s="8">
        <v>8</v>
      </c>
      <c r="F25" s="25">
        <f>ROUND(E25*F24, 0)</f>
        <v>44431</v>
      </c>
      <c r="G25" s="16">
        <v>44431.360000000001</v>
      </c>
      <c r="I25" s="32">
        <f t="shared" si="0"/>
        <v>-0.36000000000058208</v>
      </c>
    </row>
    <row r="26" spans="1:9" x14ac:dyDescent="0.3">
      <c r="A26" s="10"/>
      <c r="B26" s="30" t="s">
        <v>23</v>
      </c>
      <c r="C26" s="30"/>
      <c r="D26" s="10" t="s">
        <v>6</v>
      </c>
      <c r="E26" s="8">
        <v>1.8</v>
      </c>
      <c r="F26" s="25">
        <f>E26*F24*65</f>
        <v>649808.64000000001</v>
      </c>
      <c r="G26" s="16">
        <v>649808.64000000001</v>
      </c>
      <c r="H26">
        <f>G26/G24/E26</f>
        <v>65</v>
      </c>
      <c r="I26" s="32">
        <f t="shared" si="0"/>
        <v>0</v>
      </c>
    </row>
    <row r="27" spans="1:9" x14ac:dyDescent="0.3">
      <c r="A27" s="10"/>
      <c r="B27" s="30" t="s">
        <v>24</v>
      </c>
      <c r="C27" s="30"/>
      <c r="D27" s="10" t="s">
        <v>7</v>
      </c>
      <c r="E27" s="8">
        <v>1.1000000000000001</v>
      </c>
      <c r="F27" s="25">
        <f>E27*F24</f>
        <v>6109.3120000000008</v>
      </c>
      <c r="G27" s="16">
        <v>6109.3119999999999</v>
      </c>
      <c r="I27" s="32">
        <f t="shared" si="0"/>
        <v>0</v>
      </c>
    </row>
    <row r="28" spans="1:9" x14ac:dyDescent="0.3">
      <c r="A28" s="10"/>
      <c r="B28" s="30" t="s">
        <v>12</v>
      </c>
      <c r="C28" s="30"/>
      <c r="D28" s="10" t="s">
        <v>5</v>
      </c>
      <c r="E28" s="8">
        <v>1</v>
      </c>
      <c r="F28" s="25">
        <f>E28*F24</f>
        <v>5553.92</v>
      </c>
      <c r="G28" s="16">
        <v>5553.92</v>
      </c>
      <c r="I28" s="32">
        <f t="shared" si="0"/>
        <v>0</v>
      </c>
    </row>
    <row r="29" spans="1:9" ht="27" x14ac:dyDescent="0.3">
      <c r="A29" s="29" t="s">
        <v>35</v>
      </c>
      <c r="B29" s="31" t="s">
        <v>26</v>
      </c>
      <c r="C29" s="31" t="s">
        <v>44</v>
      </c>
      <c r="D29" s="29" t="s">
        <v>7</v>
      </c>
      <c r="E29" s="21">
        <v>1</v>
      </c>
      <c r="F29" s="22">
        <v>468.22</v>
      </c>
      <c r="G29" s="23">
        <v>468.22</v>
      </c>
      <c r="I29" s="32">
        <f t="shared" si="0"/>
        <v>0</v>
      </c>
    </row>
    <row r="30" spans="1:9" x14ac:dyDescent="0.3">
      <c r="A30" s="10"/>
      <c r="B30" s="30" t="s">
        <v>8</v>
      </c>
      <c r="C30" s="30"/>
      <c r="D30" s="10" t="s">
        <v>6</v>
      </c>
      <c r="E30" s="8">
        <v>0.255</v>
      </c>
      <c r="F30" s="25">
        <f>E30*F29</f>
        <v>119.3961</v>
      </c>
      <c r="G30" s="16">
        <v>119.396</v>
      </c>
      <c r="I30" s="32">
        <f t="shared" si="0"/>
        <v>1.0000000000331966E-4</v>
      </c>
    </row>
    <row r="31" spans="1:9" x14ac:dyDescent="0.3">
      <c r="A31" s="10"/>
      <c r="B31" s="30" t="s">
        <v>12</v>
      </c>
      <c r="C31" s="30"/>
      <c r="D31" s="10" t="s">
        <v>5</v>
      </c>
      <c r="E31" s="8">
        <v>1</v>
      </c>
      <c r="F31" s="25">
        <f>E31*F29</f>
        <v>468.22</v>
      </c>
      <c r="G31" s="16">
        <v>468.22</v>
      </c>
      <c r="I31" s="32">
        <f t="shared" si="0"/>
        <v>0</v>
      </c>
    </row>
    <row r="32" spans="1:9" x14ac:dyDescent="0.3">
      <c r="A32" s="10"/>
      <c r="B32" s="30" t="s">
        <v>24</v>
      </c>
      <c r="C32" s="30"/>
      <c r="D32" s="10" t="s">
        <v>7</v>
      </c>
      <c r="E32" s="8">
        <v>1.1000000000000001</v>
      </c>
      <c r="F32" s="25">
        <f>E32*F29</f>
        <v>515.04200000000003</v>
      </c>
      <c r="G32" s="16">
        <v>515.04200000000003</v>
      </c>
      <c r="I32" s="32">
        <f t="shared" si="0"/>
        <v>0</v>
      </c>
    </row>
    <row r="33" spans="1:9" x14ac:dyDescent="0.3">
      <c r="A33" s="10"/>
      <c r="B33" s="30" t="s">
        <v>23</v>
      </c>
      <c r="C33" s="30"/>
      <c r="D33" s="10" t="s">
        <v>6</v>
      </c>
      <c r="E33" s="8">
        <v>1.8</v>
      </c>
      <c r="F33" s="25">
        <f>E33*F29*68</f>
        <v>57310.128000000004</v>
      </c>
      <c r="G33" s="16">
        <v>57310.127999999997</v>
      </c>
      <c r="H33">
        <f>G33/G29/E33</f>
        <v>68</v>
      </c>
      <c r="I33" s="32">
        <f t="shared" si="0"/>
        <v>0</v>
      </c>
    </row>
    <row r="34" spans="1:9" x14ac:dyDescent="0.3">
      <c r="A34" s="10"/>
      <c r="B34" s="30" t="s">
        <v>22</v>
      </c>
      <c r="C34" s="30"/>
      <c r="D34" s="10" t="s">
        <v>41</v>
      </c>
      <c r="E34" s="8">
        <v>8</v>
      </c>
      <c r="F34" s="25">
        <f>ROUND(E34*F29, 0)</f>
        <v>3746</v>
      </c>
      <c r="G34" s="16">
        <v>3745.76</v>
      </c>
      <c r="I34" s="32">
        <f t="shared" si="0"/>
        <v>0.23999999999978172</v>
      </c>
    </row>
    <row r="35" spans="1:9" ht="27" x14ac:dyDescent="0.3">
      <c r="A35" s="29" t="s">
        <v>35</v>
      </c>
      <c r="B35" s="31" t="s">
        <v>26</v>
      </c>
      <c r="C35" s="31" t="s">
        <v>45</v>
      </c>
      <c r="D35" s="29" t="s">
        <v>7</v>
      </c>
      <c r="E35" s="21">
        <v>1</v>
      </c>
      <c r="F35" s="22">
        <v>19.420000000000002</v>
      </c>
      <c r="G35" s="23">
        <v>19.420000000000002</v>
      </c>
      <c r="I35" s="32">
        <f t="shared" si="0"/>
        <v>0</v>
      </c>
    </row>
    <row r="36" spans="1:9" x14ac:dyDescent="0.3">
      <c r="A36" s="10"/>
      <c r="B36" s="30" t="s">
        <v>22</v>
      </c>
      <c r="C36" s="30"/>
      <c r="D36" s="10" t="s">
        <v>41</v>
      </c>
      <c r="E36" s="8">
        <v>8</v>
      </c>
      <c r="F36" s="25">
        <f>ROUND(E36*F35, 0)</f>
        <v>155</v>
      </c>
      <c r="G36" s="16">
        <v>155.36000000000001</v>
      </c>
      <c r="I36" s="32">
        <f t="shared" si="0"/>
        <v>-0.36000000000001364</v>
      </c>
    </row>
    <row r="37" spans="1:9" x14ac:dyDescent="0.3">
      <c r="A37" s="10"/>
      <c r="B37" s="30" t="s">
        <v>27</v>
      </c>
      <c r="C37" s="30"/>
      <c r="D37" s="10" t="s">
        <v>6</v>
      </c>
      <c r="E37" s="8">
        <v>1.8</v>
      </c>
      <c r="F37" s="25">
        <f>E37*F35*70</f>
        <v>2446.92</v>
      </c>
      <c r="G37" s="16">
        <v>2446.92</v>
      </c>
      <c r="H37">
        <f>G37/G35/E37</f>
        <v>69.999999999999986</v>
      </c>
      <c r="I37" s="32">
        <f t="shared" si="0"/>
        <v>0</v>
      </c>
    </row>
    <row r="38" spans="1:9" x14ac:dyDescent="0.3">
      <c r="A38" s="10"/>
      <c r="B38" s="30" t="s">
        <v>28</v>
      </c>
      <c r="C38" s="30"/>
      <c r="D38" s="10" t="s">
        <v>7</v>
      </c>
      <c r="E38" s="8">
        <v>1.1000000000000001</v>
      </c>
      <c r="F38" s="25">
        <f>E38*F35</f>
        <v>21.362000000000002</v>
      </c>
      <c r="G38" s="16">
        <v>21.361999999999998</v>
      </c>
      <c r="I38" s="32">
        <f t="shared" si="0"/>
        <v>0</v>
      </c>
    </row>
    <row r="39" spans="1:9" x14ac:dyDescent="0.3">
      <c r="A39" s="10"/>
      <c r="B39" s="30" t="s">
        <v>12</v>
      </c>
      <c r="C39" s="30"/>
      <c r="D39" s="10" t="s">
        <v>5</v>
      </c>
      <c r="E39" s="8">
        <v>1</v>
      </c>
      <c r="F39" s="25">
        <f>E39*F35</f>
        <v>19.420000000000002</v>
      </c>
      <c r="G39" s="16">
        <v>19.420000000000002</v>
      </c>
      <c r="I39" s="32">
        <f t="shared" si="0"/>
        <v>0</v>
      </c>
    </row>
    <row r="40" spans="1:9" ht="27" x14ac:dyDescent="0.3">
      <c r="A40" s="29" t="s">
        <v>35</v>
      </c>
      <c r="B40" s="31" t="s">
        <v>26</v>
      </c>
      <c r="C40" s="31" t="s">
        <v>46</v>
      </c>
      <c r="D40" s="29" t="s">
        <v>7</v>
      </c>
      <c r="E40" s="21">
        <v>1</v>
      </c>
      <c r="F40" s="22">
        <v>101.29</v>
      </c>
      <c r="G40" s="23">
        <v>101.29</v>
      </c>
      <c r="I40" s="32">
        <f t="shared" si="0"/>
        <v>0</v>
      </c>
    </row>
    <row r="41" spans="1:9" x14ac:dyDescent="0.3">
      <c r="A41" s="10"/>
      <c r="B41" s="30" t="s">
        <v>12</v>
      </c>
      <c r="C41" s="30"/>
      <c r="D41" s="10" t="s">
        <v>5</v>
      </c>
      <c r="E41" s="8">
        <v>1</v>
      </c>
      <c r="F41" s="25">
        <f>E41*F40</f>
        <v>101.29</v>
      </c>
      <c r="G41" s="16">
        <v>101.29</v>
      </c>
      <c r="I41" s="32">
        <f t="shared" si="0"/>
        <v>0</v>
      </c>
    </row>
    <row r="42" spans="1:9" x14ac:dyDescent="0.3">
      <c r="A42" s="10"/>
      <c r="B42" s="30" t="s">
        <v>28</v>
      </c>
      <c r="C42" s="30"/>
      <c r="D42" s="10" t="s">
        <v>7</v>
      </c>
      <c r="E42" s="8">
        <v>1.1000000000000001</v>
      </c>
      <c r="F42" s="25">
        <f>E42*F40</f>
        <v>111.41900000000001</v>
      </c>
      <c r="G42" s="16">
        <v>111.419</v>
      </c>
      <c r="I42" s="32">
        <f t="shared" si="0"/>
        <v>0</v>
      </c>
    </row>
    <row r="43" spans="1:9" x14ac:dyDescent="0.3">
      <c r="A43" s="10"/>
      <c r="B43" s="30" t="s">
        <v>27</v>
      </c>
      <c r="C43" s="30"/>
      <c r="D43" s="10" t="s">
        <v>6</v>
      </c>
      <c r="E43" s="8">
        <v>1.8</v>
      </c>
      <c r="F43" s="25">
        <f>E43*F40*80</f>
        <v>14585.76</v>
      </c>
      <c r="G43" s="16">
        <v>14585.76</v>
      </c>
      <c r="I43" s="32">
        <f t="shared" si="0"/>
        <v>0</v>
      </c>
    </row>
    <row r="44" spans="1:9" x14ac:dyDescent="0.3">
      <c r="A44" s="10"/>
      <c r="B44" s="30" t="s">
        <v>22</v>
      </c>
      <c r="C44" s="30"/>
      <c r="D44" s="10" t="s">
        <v>41</v>
      </c>
      <c r="E44" s="8">
        <v>8</v>
      </c>
      <c r="F44" s="25">
        <f>ROUND(E44*F40, 0)</f>
        <v>810</v>
      </c>
      <c r="G44" s="16">
        <v>810.32</v>
      </c>
      <c r="I44" s="32">
        <f>F44-G44</f>
        <v>-0.32000000000005002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K17"/>
  <sheetViews>
    <sheetView workbookViewId="0">
      <selection activeCell="E10" sqref="E10"/>
    </sheetView>
  </sheetViews>
  <sheetFormatPr defaultRowHeight="14.4" x14ac:dyDescent="0.3"/>
  <cols>
    <col min="1" max="1" width="7.5546875" customWidth="1"/>
    <col min="2" max="2" width="50.33203125" customWidth="1"/>
    <col min="3" max="3" width="13.5546875" customWidth="1"/>
    <col min="4" max="4" width="9.109375" customWidth="1"/>
    <col min="5" max="5" width="14.5546875" customWidth="1"/>
    <col min="6" max="6" width="8.88671875" customWidth="1"/>
    <col min="7" max="9" width="0" hidden="1" customWidth="1"/>
  </cols>
  <sheetData>
    <row r="1" spans="1:11" ht="26.4" x14ac:dyDescent="0.3">
      <c r="A1" s="91">
        <v>1</v>
      </c>
      <c r="B1" s="92" t="s">
        <v>21</v>
      </c>
      <c r="C1" s="93" t="s">
        <v>40</v>
      </c>
      <c r="D1" s="91" t="s">
        <v>7</v>
      </c>
      <c r="E1" s="94">
        <v>1</v>
      </c>
      <c r="F1" s="95">
        <v>46.62</v>
      </c>
    </row>
    <row r="2" spans="1:11" x14ac:dyDescent="0.3">
      <c r="A2" s="73">
        <v>1.1000000000000001</v>
      </c>
      <c r="B2" s="9" t="s">
        <v>22</v>
      </c>
      <c r="C2" s="9"/>
      <c r="D2" s="73" t="s">
        <v>41</v>
      </c>
      <c r="E2" s="8">
        <v>8</v>
      </c>
      <c r="F2" s="25">
        <v>372</v>
      </c>
    </row>
    <row r="3" spans="1:11" x14ac:dyDescent="0.3">
      <c r="A3" s="73">
        <v>1.2</v>
      </c>
      <c r="B3" s="9" t="s">
        <v>23</v>
      </c>
      <c r="C3" s="9"/>
      <c r="D3" s="73" t="s">
        <v>6</v>
      </c>
      <c r="E3" s="8">
        <v>1.8</v>
      </c>
      <c r="F3" s="25">
        <v>3356.64</v>
      </c>
    </row>
    <row r="4" spans="1:11" x14ac:dyDescent="0.3">
      <c r="A4" s="73">
        <v>1.3</v>
      </c>
      <c r="B4" s="9" t="s">
        <v>24</v>
      </c>
      <c r="C4" s="9"/>
      <c r="D4" s="73" t="s">
        <v>7</v>
      </c>
      <c r="E4" s="8">
        <v>1.1000000000000001</v>
      </c>
      <c r="F4" s="25">
        <v>51.281999999999996</v>
      </c>
    </row>
    <row r="5" spans="1:11" x14ac:dyDescent="0.3">
      <c r="A5" s="73">
        <v>1.4</v>
      </c>
      <c r="B5" s="9" t="s">
        <v>12</v>
      </c>
      <c r="C5" s="9"/>
      <c r="D5" s="73" t="s">
        <v>5</v>
      </c>
      <c r="E5" s="8">
        <v>1</v>
      </c>
      <c r="F5" s="25">
        <v>46.62</v>
      </c>
    </row>
    <row r="7" spans="1:11" s="101" customFormat="1" ht="13.2" x14ac:dyDescent="0.25">
      <c r="A7" s="85">
        <v>1</v>
      </c>
      <c r="B7" s="85">
        <v>4.0999999999999996</v>
      </c>
      <c r="C7" s="85">
        <v>2.081</v>
      </c>
      <c r="D7" s="85">
        <v>11</v>
      </c>
      <c r="E7" s="85">
        <v>298.27999999999997</v>
      </c>
    </row>
    <row r="8" spans="1:11" ht="27" x14ac:dyDescent="0.3">
      <c r="A8" s="29">
        <v>2</v>
      </c>
      <c r="B8" s="28" t="s">
        <v>26</v>
      </c>
      <c r="C8" s="55" t="s">
        <v>96</v>
      </c>
      <c r="D8" s="29" t="s">
        <v>7</v>
      </c>
      <c r="E8" s="21">
        <v>1</v>
      </c>
      <c r="F8" s="22">
        <f>SUM(F14:F17)</f>
        <v>514.05999999999995</v>
      </c>
      <c r="G8" s="23">
        <v>5553.92</v>
      </c>
      <c r="I8" s="32">
        <f t="shared" ref="I8:I12" si="0">F8-G8</f>
        <v>-5039.8600000000006</v>
      </c>
    </row>
    <row r="9" spans="1:11" x14ac:dyDescent="0.3">
      <c r="A9" s="107">
        <v>2.1</v>
      </c>
      <c r="B9" s="9" t="s">
        <v>22</v>
      </c>
      <c r="C9" s="9"/>
      <c r="D9" s="107" t="s">
        <v>41</v>
      </c>
      <c r="E9" s="8">
        <v>8</v>
      </c>
      <c r="F9" s="25">
        <f>ROUND(E9*F8, 0)</f>
        <v>4112</v>
      </c>
      <c r="G9" s="16">
        <v>44431.360000000001</v>
      </c>
      <c r="I9" s="32">
        <f t="shared" si="0"/>
        <v>-40319.360000000001</v>
      </c>
    </row>
    <row r="10" spans="1:11" x14ac:dyDescent="0.3">
      <c r="A10" s="107">
        <v>2.2000000000000002</v>
      </c>
      <c r="B10" s="30" t="s">
        <v>23</v>
      </c>
      <c r="C10" s="30"/>
      <c r="D10" s="107" t="s">
        <v>6</v>
      </c>
      <c r="E10" s="8">
        <v>1.8</v>
      </c>
      <c r="F10" s="25">
        <f>E10*F8*65</f>
        <v>60145.01999999999</v>
      </c>
      <c r="G10" s="16">
        <v>649808.64000000001</v>
      </c>
      <c r="H10">
        <f>G10/G8/E10</f>
        <v>65</v>
      </c>
      <c r="I10" s="32">
        <f t="shared" si="0"/>
        <v>-589663.62</v>
      </c>
    </row>
    <row r="11" spans="1:11" x14ac:dyDescent="0.3">
      <c r="A11" s="107">
        <v>2.2999999999999998</v>
      </c>
      <c r="B11" s="30" t="s">
        <v>24</v>
      </c>
      <c r="C11" s="30"/>
      <c r="D11" s="107" t="s">
        <v>7</v>
      </c>
      <c r="E11" s="8">
        <v>1.1000000000000001</v>
      </c>
      <c r="F11" s="25">
        <f>E11*F8</f>
        <v>565.46600000000001</v>
      </c>
      <c r="G11" s="16">
        <v>6109.3119999999999</v>
      </c>
      <c r="I11" s="32">
        <f t="shared" si="0"/>
        <v>-5543.8459999999995</v>
      </c>
    </row>
    <row r="12" spans="1:11" x14ac:dyDescent="0.3">
      <c r="A12" s="107">
        <v>2.4</v>
      </c>
      <c r="B12" s="30" t="s">
        <v>12</v>
      </c>
      <c r="C12" s="30"/>
      <c r="D12" s="107" t="s">
        <v>5</v>
      </c>
      <c r="E12" s="8">
        <v>1</v>
      </c>
      <c r="F12" s="25">
        <f>E12*F8</f>
        <v>514.05999999999995</v>
      </c>
      <c r="G12" s="16">
        <v>5553.92</v>
      </c>
      <c r="I12" s="32">
        <f t="shared" si="0"/>
        <v>-5039.8600000000006</v>
      </c>
    </row>
    <row r="14" spans="1:11" x14ac:dyDescent="0.3">
      <c r="A14" s="10">
        <v>9</v>
      </c>
      <c r="B14" s="54">
        <v>3.0009999999999999</v>
      </c>
      <c r="C14" s="50"/>
      <c r="D14" s="44"/>
      <c r="E14" s="41"/>
      <c r="F14" s="47">
        <v>129.68</v>
      </c>
      <c r="G14" s="25">
        <f>SUM(C14:F14)</f>
        <v>129.68</v>
      </c>
      <c r="K14">
        <v>1</v>
      </c>
    </row>
    <row r="15" spans="1:11" x14ac:dyDescent="0.3">
      <c r="A15" s="10">
        <v>10</v>
      </c>
      <c r="B15" s="54">
        <v>3.0019999999999998</v>
      </c>
      <c r="C15" s="50"/>
      <c r="D15" s="44"/>
      <c r="E15" s="41"/>
      <c r="F15" s="47">
        <v>73.05</v>
      </c>
      <c r="G15" s="25">
        <f>SUM(C15:F15)</f>
        <v>73.05</v>
      </c>
      <c r="K15">
        <v>1</v>
      </c>
    </row>
    <row r="16" spans="1:11" x14ac:dyDescent="0.3">
      <c r="A16" s="10">
        <v>11</v>
      </c>
      <c r="B16" s="54">
        <v>3.0030000000000001</v>
      </c>
      <c r="C16" s="50"/>
      <c r="D16" s="44"/>
      <c r="E16" s="41"/>
      <c r="F16" s="47">
        <v>71.709999999999994</v>
      </c>
      <c r="G16" s="25">
        <f>SUM(C16:F16)</f>
        <v>71.709999999999994</v>
      </c>
      <c r="K16">
        <v>1</v>
      </c>
    </row>
    <row r="17" spans="1:11" x14ac:dyDescent="0.3">
      <c r="A17" s="10">
        <v>13</v>
      </c>
      <c r="B17" s="54">
        <v>3.0049999999999999</v>
      </c>
      <c r="C17" s="50"/>
      <c r="D17" s="44"/>
      <c r="E17" s="41"/>
      <c r="F17" s="47">
        <v>239.62</v>
      </c>
      <c r="G17" s="25">
        <f>SUM(C17:F17)</f>
        <v>239.62</v>
      </c>
      <c r="K17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4"/>
  <sheetViews>
    <sheetView workbookViewId="0">
      <selection activeCell="E32" sqref="E32"/>
    </sheetView>
  </sheetViews>
  <sheetFormatPr defaultRowHeight="14.4" x14ac:dyDescent="0.3"/>
  <cols>
    <col min="1" max="1" width="7.5546875" customWidth="1"/>
    <col min="2" max="2" width="50.33203125" customWidth="1"/>
    <col min="3" max="3" width="14.6640625" customWidth="1"/>
    <col min="4" max="4" width="9.109375" customWidth="1"/>
    <col min="5" max="5" width="14.33203125" customWidth="1"/>
    <col min="6" max="6" width="7.5546875" customWidth="1"/>
  </cols>
  <sheetData>
    <row r="1" spans="1:6" x14ac:dyDescent="0.3">
      <c r="A1" s="1"/>
      <c r="B1" s="2" t="s">
        <v>436</v>
      </c>
      <c r="C1" s="15"/>
      <c r="D1" s="3"/>
      <c r="E1" s="4"/>
      <c r="F1" s="5"/>
    </row>
    <row r="2" spans="1:6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</row>
    <row r="3" spans="1:6" ht="27" x14ac:dyDescent="0.3">
      <c r="A3" s="67">
        <v>1</v>
      </c>
      <c r="B3" s="72" t="s">
        <v>102</v>
      </c>
      <c r="C3" s="69" t="s">
        <v>104</v>
      </c>
      <c r="D3" s="67" t="s">
        <v>7</v>
      </c>
      <c r="E3" s="70">
        <v>1</v>
      </c>
      <c r="F3" s="60">
        <f>Из1эт!E29</f>
        <v>2263.66</v>
      </c>
    </row>
    <row r="4" spans="1:6" x14ac:dyDescent="0.3">
      <c r="A4" s="56">
        <v>1.1000000000000001</v>
      </c>
      <c r="B4" s="9" t="s">
        <v>103</v>
      </c>
      <c r="C4" s="9"/>
      <c r="D4" s="56" t="s">
        <v>105</v>
      </c>
      <c r="E4" s="8">
        <v>1.03</v>
      </c>
      <c r="F4" s="25">
        <f>E4*F3*50/1000</f>
        <v>116.57848999999999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29"/>
  <sheetViews>
    <sheetView workbookViewId="0">
      <selection activeCell="A17" sqref="A17:XFD17"/>
    </sheetView>
  </sheetViews>
  <sheetFormatPr defaultRowHeight="14.4" x14ac:dyDescent="0.3"/>
  <cols>
    <col min="3" max="3" width="9.109375" style="63"/>
    <col min="5" max="5" width="9.109375" style="61"/>
  </cols>
  <sheetData>
    <row r="1" spans="1:5" x14ac:dyDescent="0.3">
      <c r="A1" s="255" t="s">
        <v>108</v>
      </c>
      <c r="B1" s="256"/>
      <c r="C1" s="256"/>
      <c r="D1" s="256"/>
      <c r="E1" s="257"/>
    </row>
    <row r="2" spans="1:5" x14ac:dyDescent="0.3">
      <c r="A2" s="56" t="s">
        <v>0</v>
      </c>
      <c r="B2" s="34" t="s">
        <v>97</v>
      </c>
      <c r="C2" s="8" t="s">
        <v>98</v>
      </c>
      <c r="D2" s="34" t="s">
        <v>93</v>
      </c>
      <c r="E2" s="59" t="s">
        <v>51</v>
      </c>
    </row>
    <row r="3" spans="1:5" x14ac:dyDescent="0.3">
      <c r="A3" s="56">
        <v>1</v>
      </c>
      <c r="B3" s="64">
        <v>1</v>
      </c>
      <c r="C3" s="64">
        <v>1.024</v>
      </c>
      <c r="D3" s="64">
        <v>6</v>
      </c>
      <c r="E3" s="60">
        <v>13.62</v>
      </c>
    </row>
    <row r="4" spans="1:5" x14ac:dyDescent="0.3">
      <c r="A4" s="57">
        <v>2</v>
      </c>
      <c r="B4" s="64">
        <v>4.0999999999999996</v>
      </c>
      <c r="C4" s="64">
        <v>1.0449999999999999</v>
      </c>
      <c r="D4" s="64">
        <v>6</v>
      </c>
      <c r="E4" s="60">
        <v>161.78</v>
      </c>
    </row>
    <row r="5" spans="1:5" x14ac:dyDescent="0.3">
      <c r="A5" s="57">
        <v>3</v>
      </c>
      <c r="B5" s="64">
        <v>4.0999999999999996</v>
      </c>
      <c r="C5" s="64">
        <v>1.046</v>
      </c>
      <c r="D5" s="64">
        <v>6</v>
      </c>
      <c r="E5" s="60">
        <v>161.15</v>
      </c>
    </row>
    <row r="6" spans="1:5" x14ac:dyDescent="0.3">
      <c r="A6" s="57">
        <v>4</v>
      </c>
      <c r="B6" s="64">
        <v>4.0999999999999996</v>
      </c>
      <c r="C6" s="64">
        <v>1.0529999999999999</v>
      </c>
      <c r="D6" s="64">
        <v>6</v>
      </c>
      <c r="E6" s="60">
        <v>443.48</v>
      </c>
    </row>
    <row r="7" spans="1:5" x14ac:dyDescent="0.3">
      <c r="A7" s="57">
        <v>5</v>
      </c>
      <c r="B7" s="64">
        <v>1</v>
      </c>
      <c r="C7" s="64">
        <v>1.034</v>
      </c>
      <c r="D7" s="64">
        <v>7</v>
      </c>
      <c r="E7" s="60">
        <v>17.22</v>
      </c>
    </row>
    <row r="8" spans="1:5" x14ac:dyDescent="0.3">
      <c r="A8" s="57">
        <v>6</v>
      </c>
      <c r="B8" s="64">
        <v>1</v>
      </c>
      <c r="C8" s="64">
        <v>1.0349999999999999</v>
      </c>
      <c r="D8" s="64">
        <v>7</v>
      </c>
      <c r="E8" s="60">
        <v>21.63</v>
      </c>
    </row>
    <row r="9" spans="1:5" x14ac:dyDescent="0.3">
      <c r="A9" s="57">
        <v>7</v>
      </c>
      <c r="B9" s="64">
        <v>1</v>
      </c>
      <c r="C9" s="64">
        <v>1.036</v>
      </c>
      <c r="D9" s="64">
        <v>7</v>
      </c>
      <c r="E9" s="60">
        <v>5.76</v>
      </c>
    </row>
    <row r="10" spans="1:5" x14ac:dyDescent="0.3">
      <c r="A10" s="57">
        <v>8</v>
      </c>
      <c r="B10" s="64">
        <v>4.0999999999999996</v>
      </c>
      <c r="C10" s="64">
        <v>1.054</v>
      </c>
      <c r="D10" s="64">
        <v>7</v>
      </c>
      <c r="E10" s="60">
        <v>14.54</v>
      </c>
    </row>
    <row r="11" spans="1:5" x14ac:dyDescent="0.3">
      <c r="A11" s="57">
        <v>9</v>
      </c>
      <c r="B11" s="64">
        <v>4.0999999999999996</v>
      </c>
      <c r="C11" s="64">
        <v>1.048</v>
      </c>
      <c r="D11" s="64">
        <v>8.1</v>
      </c>
      <c r="E11" s="60">
        <v>23.92</v>
      </c>
    </row>
    <row r="12" spans="1:5" x14ac:dyDescent="0.3">
      <c r="A12" s="57">
        <v>10</v>
      </c>
      <c r="B12" s="64">
        <v>1</v>
      </c>
      <c r="C12" s="64">
        <v>1.0369999999999999</v>
      </c>
      <c r="D12" s="64">
        <v>8.1999999999999993</v>
      </c>
      <c r="E12" s="60">
        <v>3.34</v>
      </c>
    </row>
    <row r="13" spans="1:5" x14ac:dyDescent="0.3">
      <c r="A13" s="57">
        <v>11</v>
      </c>
      <c r="B13" s="64">
        <v>1</v>
      </c>
      <c r="C13" s="64">
        <v>1.038</v>
      </c>
      <c r="D13" s="64">
        <v>8.1999999999999993</v>
      </c>
      <c r="E13" s="60">
        <v>5.25</v>
      </c>
    </row>
    <row r="14" spans="1:5" x14ac:dyDescent="0.3">
      <c r="A14" s="57">
        <v>12</v>
      </c>
      <c r="B14" s="64">
        <v>1</v>
      </c>
      <c r="C14" s="8">
        <v>1.026</v>
      </c>
      <c r="D14" s="64">
        <v>9</v>
      </c>
      <c r="E14" s="60">
        <v>191.68</v>
      </c>
    </row>
    <row r="15" spans="1:5" x14ac:dyDescent="0.3">
      <c r="A15" s="57">
        <v>13</v>
      </c>
      <c r="B15" s="64">
        <v>1</v>
      </c>
      <c r="C15" s="54">
        <v>1.0269999999999999</v>
      </c>
      <c r="D15" s="64">
        <v>9</v>
      </c>
      <c r="E15" s="60">
        <v>114.04</v>
      </c>
    </row>
    <row r="16" spans="1:5" x14ac:dyDescent="0.3">
      <c r="A16" s="57">
        <v>14</v>
      </c>
      <c r="B16" s="64">
        <v>1</v>
      </c>
      <c r="C16" s="54">
        <v>1.028</v>
      </c>
      <c r="D16" s="64">
        <v>9</v>
      </c>
      <c r="E16" s="60">
        <v>68.81</v>
      </c>
    </row>
    <row r="17" spans="1:5" x14ac:dyDescent="0.3">
      <c r="A17" s="57">
        <v>15</v>
      </c>
      <c r="B17" s="64">
        <v>1</v>
      </c>
      <c r="C17" s="54">
        <v>1.0289999999999999</v>
      </c>
      <c r="D17" s="64">
        <v>9</v>
      </c>
      <c r="E17" s="60">
        <v>68.81</v>
      </c>
    </row>
    <row r="18" spans="1:5" x14ac:dyDescent="0.3">
      <c r="A18" s="57">
        <v>16</v>
      </c>
      <c r="B18" s="64">
        <v>1</v>
      </c>
      <c r="C18" s="54">
        <v>1.03</v>
      </c>
      <c r="D18" s="64">
        <v>9</v>
      </c>
      <c r="E18" s="60">
        <v>68.89</v>
      </c>
    </row>
    <row r="19" spans="1:5" x14ac:dyDescent="0.3">
      <c r="A19" s="57">
        <v>17</v>
      </c>
      <c r="B19" s="64">
        <v>1</v>
      </c>
      <c r="C19" s="54">
        <v>1.0309999999999999</v>
      </c>
      <c r="D19" s="64">
        <v>9</v>
      </c>
      <c r="E19" s="60">
        <v>68.89</v>
      </c>
    </row>
    <row r="20" spans="1:5" x14ac:dyDescent="0.3">
      <c r="A20" s="57">
        <v>18</v>
      </c>
      <c r="B20" s="64">
        <v>1</v>
      </c>
      <c r="C20" s="54">
        <v>1.032</v>
      </c>
      <c r="D20" s="64">
        <v>9</v>
      </c>
      <c r="E20" s="60">
        <v>68.069999999999993</v>
      </c>
    </row>
    <row r="21" spans="1:5" x14ac:dyDescent="0.3">
      <c r="A21" s="57">
        <v>19</v>
      </c>
      <c r="B21" s="64">
        <v>1</v>
      </c>
      <c r="C21" s="54">
        <v>1.0329999999999999</v>
      </c>
      <c r="D21" s="64">
        <v>9</v>
      </c>
      <c r="E21" s="60">
        <v>139.1</v>
      </c>
    </row>
    <row r="22" spans="1:5" x14ac:dyDescent="0.3">
      <c r="A22" s="57">
        <v>20</v>
      </c>
      <c r="B22" s="64">
        <v>1</v>
      </c>
      <c r="C22" s="54">
        <v>1.0389999999999999</v>
      </c>
      <c r="D22" s="64">
        <v>9</v>
      </c>
      <c r="E22" s="60">
        <v>149.69999999999999</v>
      </c>
    </row>
    <row r="23" spans="1:5" x14ac:dyDescent="0.3">
      <c r="A23" s="57">
        <v>21</v>
      </c>
      <c r="B23" s="64">
        <v>4.0999999999999996</v>
      </c>
      <c r="C23" s="54">
        <v>1.04</v>
      </c>
      <c r="D23" s="64">
        <v>9</v>
      </c>
      <c r="E23" s="60">
        <v>220.47</v>
      </c>
    </row>
    <row r="24" spans="1:5" x14ac:dyDescent="0.3">
      <c r="A24" s="57">
        <v>22</v>
      </c>
      <c r="B24" s="64">
        <v>4.0999999999999996</v>
      </c>
      <c r="C24" s="54">
        <v>1.0429999999999999</v>
      </c>
      <c r="D24" s="64">
        <v>9</v>
      </c>
      <c r="E24" s="60">
        <v>61.99</v>
      </c>
    </row>
    <row r="25" spans="1:5" x14ac:dyDescent="0.3">
      <c r="A25" s="57">
        <v>23</v>
      </c>
      <c r="B25" s="64">
        <v>4.0999999999999996</v>
      </c>
      <c r="C25" s="54">
        <v>1.044</v>
      </c>
      <c r="D25" s="64">
        <v>9</v>
      </c>
      <c r="E25" s="60">
        <v>14.14</v>
      </c>
    </row>
    <row r="26" spans="1:5" x14ac:dyDescent="0.3">
      <c r="A26" s="57">
        <v>24</v>
      </c>
      <c r="B26" s="64">
        <v>4.0999999999999996</v>
      </c>
      <c r="C26" s="54">
        <v>1.0489999999999999</v>
      </c>
      <c r="D26" s="64">
        <v>9</v>
      </c>
      <c r="E26" s="60">
        <v>103.8</v>
      </c>
    </row>
    <row r="27" spans="1:5" x14ac:dyDescent="0.3">
      <c r="A27" s="57">
        <v>25</v>
      </c>
      <c r="B27" s="64">
        <v>4.0999999999999996</v>
      </c>
      <c r="C27" s="54">
        <v>1.05</v>
      </c>
      <c r="D27" s="64">
        <v>9</v>
      </c>
      <c r="E27" s="60">
        <v>22</v>
      </c>
    </row>
    <row r="28" spans="1:5" x14ac:dyDescent="0.3">
      <c r="A28" s="57">
        <v>26</v>
      </c>
      <c r="B28" s="64">
        <v>4.0999999999999996</v>
      </c>
      <c r="C28" s="54">
        <v>1.0509999999999999</v>
      </c>
      <c r="D28" s="64">
        <v>9</v>
      </c>
      <c r="E28" s="60">
        <v>31.58</v>
      </c>
    </row>
    <row r="29" spans="1:5" x14ac:dyDescent="0.3">
      <c r="A29" s="56"/>
      <c r="B29" s="34"/>
      <c r="C29" s="54"/>
      <c r="D29" s="34" t="s">
        <v>106</v>
      </c>
      <c r="E29" s="60">
        <f>SUM(E3:E28)</f>
        <v>2263.66</v>
      </c>
    </row>
  </sheetData>
  <mergeCells count="1">
    <mergeCell ref="A1:E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17"/>
  <sheetViews>
    <sheetView workbookViewId="0">
      <selection activeCell="A28" sqref="A28"/>
    </sheetView>
  </sheetViews>
  <sheetFormatPr defaultRowHeight="14.4" x14ac:dyDescent="0.3"/>
  <sheetData>
    <row r="1" spans="1:5" x14ac:dyDescent="0.3">
      <c r="A1" s="255" t="s">
        <v>107</v>
      </c>
      <c r="B1" s="256"/>
      <c r="C1" s="256"/>
      <c r="D1" s="256"/>
      <c r="E1" s="257"/>
    </row>
    <row r="2" spans="1:5" x14ac:dyDescent="0.3">
      <c r="A2" s="56" t="s">
        <v>0</v>
      </c>
      <c r="B2" s="34" t="s">
        <v>97</v>
      </c>
      <c r="C2" s="8" t="s">
        <v>98</v>
      </c>
      <c r="D2" s="34" t="s">
        <v>93</v>
      </c>
      <c r="E2" s="59" t="s">
        <v>51</v>
      </c>
    </row>
    <row r="3" spans="1:5" x14ac:dyDescent="0.3">
      <c r="A3" s="56">
        <v>1</v>
      </c>
      <c r="B3" s="34" t="s">
        <v>99</v>
      </c>
      <c r="C3" s="64">
        <v>2.0139999999999998</v>
      </c>
      <c r="D3" s="34" t="s">
        <v>101</v>
      </c>
      <c r="E3" s="60">
        <v>0</v>
      </c>
    </row>
    <row r="4" spans="1:5" x14ac:dyDescent="0.3">
      <c r="A4" s="56">
        <v>2</v>
      </c>
      <c r="B4" s="34" t="s">
        <v>99</v>
      </c>
      <c r="C4" s="64">
        <v>2.0150000000000001</v>
      </c>
      <c r="D4" s="34" t="s">
        <v>101</v>
      </c>
      <c r="E4" s="60">
        <v>0</v>
      </c>
    </row>
    <row r="5" spans="1:5" x14ac:dyDescent="0.3">
      <c r="A5" s="56">
        <v>3</v>
      </c>
      <c r="B5" s="34" t="s">
        <v>99</v>
      </c>
      <c r="C5" s="64">
        <v>2.016</v>
      </c>
      <c r="D5" s="34" t="s">
        <v>101</v>
      </c>
      <c r="E5" s="60">
        <v>0</v>
      </c>
    </row>
    <row r="6" spans="1:5" x14ac:dyDescent="0.3">
      <c r="A6" s="56">
        <v>4</v>
      </c>
      <c r="B6" s="34" t="s">
        <v>100</v>
      </c>
      <c r="C6" s="54">
        <v>2.089</v>
      </c>
      <c r="D6" s="34" t="s">
        <v>101</v>
      </c>
      <c r="E6" s="60">
        <v>0</v>
      </c>
    </row>
    <row r="7" spans="1:5" x14ac:dyDescent="0.3">
      <c r="A7" s="56">
        <v>5</v>
      </c>
      <c r="B7" s="34" t="s">
        <v>100</v>
      </c>
      <c r="C7" s="54">
        <v>2.09</v>
      </c>
      <c r="D7" s="34" t="s">
        <v>101</v>
      </c>
      <c r="E7" s="60">
        <v>0</v>
      </c>
    </row>
    <row r="8" spans="1:5" x14ac:dyDescent="0.3">
      <c r="A8" s="56">
        <v>6</v>
      </c>
      <c r="B8" s="34" t="s">
        <v>100</v>
      </c>
      <c r="C8" s="54">
        <v>2.0910000000000002</v>
      </c>
      <c r="D8" s="34" t="s">
        <v>101</v>
      </c>
      <c r="E8" s="60">
        <v>0</v>
      </c>
    </row>
    <row r="9" spans="1:5" x14ac:dyDescent="0.3">
      <c r="A9" s="56">
        <v>7</v>
      </c>
      <c r="B9" s="34" t="s">
        <v>100</v>
      </c>
      <c r="C9" s="54">
        <v>2.0950000000000002</v>
      </c>
      <c r="D9" s="34" t="s">
        <v>101</v>
      </c>
      <c r="E9" s="60">
        <v>0</v>
      </c>
    </row>
    <row r="10" spans="1:5" x14ac:dyDescent="0.3">
      <c r="A10" s="56">
        <v>8</v>
      </c>
      <c r="B10" s="34" t="s">
        <v>100</v>
      </c>
      <c r="C10" s="54">
        <v>2.0960000000000001</v>
      </c>
      <c r="D10" s="34" t="s">
        <v>101</v>
      </c>
      <c r="E10" s="60">
        <v>0</v>
      </c>
    </row>
    <row r="11" spans="1:5" x14ac:dyDescent="0.3">
      <c r="A11" s="56">
        <v>9</v>
      </c>
      <c r="B11" s="34" t="s">
        <v>100</v>
      </c>
      <c r="C11" s="54">
        <v>2.1</v>
      </c>
      <c r="D11" s="34" t="s">
        <v>101</v>
      </c>
      <c r="E11" s="60">
        <v>0</v>
      </c>
    </row>
    <row r="12" spans="1:5" x14ac:dyDescent="0.3">
      <c r="A12" s="56">
        <v>10</v>
      </c>
      <c r="B12" s="34" t="s">
        <v>100</v>
      </c>
      <c r="C12" s="54">
        <v>2.101</v>
      </c>
      <c r="D12" s="34" t="s">
        <v>101</v>
      </c>
      <c r="E12" s="60">
        <v>0</v>
      </c>
    </row>
    <row r="13" spans="1:5" x14ac:dyDescent="0.3">
      <c r="A13" s="56">
        <v>11</v>
      </c>
      <c r="B13" s="34" t="s">
        <v>100</v>
      </c>
      <c r="C13" s="54">
        <v>2.1040000000000001</v>
      </c>
      <c r="D13" s="34" t="s">
        <v>101</v>
      </c>
      <c r="E13" s="60">
        <v>0</v>
      </c>
    </row>
    <row r="14" spans="1:5" x14ac:dyDescent="0.3">
      <c r="A14" s="56">
        <v>12</v>
      </c>
      <c r="B14" s="34" t="s">
        <v>100</v>
      </c>
      <c r="C14" s="54">
        <v>2.105</v>
      </c>
      <c r="D14" s="34" t="s">
        <v>101</v>
      </c>
      <c r="E14" s="60">
        <v>0</v>
      </c>
    </row>
    <row r="15" spans="1:5" x14ac:dyDescent="0.3">
      <c r="A15" s="56">
        <v>13</v>
      </c>
      <c r="B15" s="34" t="s">
        <v>100</v>
      </c>
      <c r="C15" s="54">
        <v>2.1070000000000002</v>
      </c>
      <c r="D15" s="34" t="s">
        <v>101</v>
      </c>
      <c r="E15" s="60">
        <v>0</v>
      </c>
    </row>
    <row r="16" spans="1:5" x14ac:dyDescent="0.3">
      <c r="A16" s="56">
        <v>14</v>
      </c>
      <c r="B16" s="34" t="s">
        <v>100</v>
      </c>
      <c r="C16" s="54">
        <v>2.1080000000000001</v>
      </c>
      <c r="D16" s="34" t="s">
        <v>101</v>
      </c>
      <c r="E16" s="60">
        <v>0</v>
      </c>
    </row>
    <row r="17" spans="1:5" x14ac:dyDescent="0.3">
      <c r="A17" s="56"/>
      <c r="B17" s="34"/>
      <c r="C17" s="54"/>
      <c r="D17" s="34" t="s">
        <v>52</v>
      </c>
      <c r="E17" s="71">
        <f>SUM(E3:E16)</f>
        <v>0</v>
      </c>
    </row>
  </sheetData>
  <mergeCells count="1">
    <mergeCell ref="A1:E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F4"/>
  <sheetViews>
    <sheetView workbookViewId="0">
      <selection activeCell="G6" sqref="G6"/>
    </sheetView>
  </sheetViews>
  <sheetFormatPr defaultRowHeight="14.4" x14ac:dyDescent="0.3"/>
  <cols>
    <col min="1" max="1" width="7.5546875" customWidth="1"/>
    <col min="2" max="2" width="50.33203125" customWidth="1"/>
    <col min="3" max="3" width="14.6640625" customWidth="1"/>
    <col min="4" max="4" width="9.109375" customWidth="1"/>
    <col min="5" max="5" width="14.33203125" customWidth="1"/>
    <col min="6" max="6" width="7.5546875" customWidth="1"/>
  </cols>
  <sheetData>
    <row r="1" spans="1:6" x14ac:dyDescent="0.3">
      <c r="A1" s="1"/>
      <c r="B1" s="2" t="s">
        <v>436</v>
      </c>
      <c r="C1" s="15"/>
      <c r="D1" s="3"/>
      <c r="E1" s="4"/>
      <c r="F1" s="5"/>
    </row>
    <row r="2" spans="1:6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</row>
    <row r="3" spans="1:6" ht="27" x14ac:dyDescent="0.3">
      <c r="A3" s="67">
        <v>1</v>
      </c>
      <c r="B3" s="72" t="s">
        <v>14</v>
      </c>
      <c r="C3" s="69" t="s">
        <v>115</v>
      </c>
      <c r="D3" s="67" t="s">
        <v>7</v>
      </c>
      <c r="E3" s="70">
        <v>1</v>
      </c>
      <c r="F3" s="60">
        <f>Плк1э!E30+Плк2э!E23+Плк3э!E8</f>
        <v>2708.8399999999997</v>
      </c>
    </row>
    <row r="4" spans="1:6" x14ac:dyDescent="0.3">
      <c r="A4" s="57">
        <v>1.1000000000000001</v>
      </c>
      <c r="B4" s="9" t="s">
        <v>15</v>
      </c>
      <c r="C4" s="9"/>
      <c r="D4" s="57" t="s">
        <v>7</v>
      </c>
      <c r="E4" s="8">
        <v>1.1000000000000001</v>
      </c>
      <c r="F4" s="25">
        <f>F3*E4</f>
        <v>2979.7239999999997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30"/>
  <sheetViews>
    <sheetView workbookViewId="0">
      <selection activeCell="E17" sqref="E17"/>
    </sheetView>
  </sheetViews>
  <sheetFormatPr defaultRowHeight="14.4" x14ac:dyDescent="0.3"/>
  <cols>
    <col min="1" max="1" width="7.5546875" customWidth="1"/>
    <col min="2" max="2" width="6.44140625" customWidth="1"/>
    <col min="4" max="4" width="6.109375" customWidth="1"/>
  </cols>
  <sheetData>
    <row r="1" spans="1:5" x14ac:dyDescent="0.3">
      <c r="A1" s="258" t="s">
        <v>110</v>
      </c>
      <c r="B1" s="259"/>
      <c r="C1" s="259"/>
      <c r="D1" s="259"/>
      <c r="E1" s="260"/>
    </row>
    <row r="2" spans="1:5" x14ac:dyDescent="0.3">
      <c r="A2" s="85" t="s">
        <v>0</v>
      </c>
      <c r="B2" s="85" t="s">
        <v>97</v>
      </c>
      <c r="C2" s="85" t="s">
        <v>98</v>
      </c>
      <c r="D2" s="85" t="s">
        <v>93</v>
      </c>
      <c r="E2" s="85" t="s">
        <v>51</v>
      </c>
    </row>
    <row r="3" spans="1:5" x14ac:dyDescent="0.3">
      <c r="A3" s="85">
        <v>1</v>
      </c>
      <c r="B3" s="85">
        <v>1</v>
      </c>
      <c r="C3" s="85">
        <v>1.024</v>
      </c>
      <c r="D3" s="85">
        <v>6</v>
      </c>
      <c r="E3" s="85">
        <v>13.62</v>
      </c>
    </row>
    <row r="4" spans="1:5" x14ac:dyDescent="0.3">
      <c r="A4" s="85">
        <v>2</v>
      </c>
      <c r="B4" s="85">
        <v>4.0999999999999996</v>
      </c>
      <c r="C4" s="85">
        <v>1.0449999999999999</v>
      </c>
      <c r="D4" s="85">
        <v>6</v>
      </c>
      <c r="E4" s="85">
        <v>161.78</v>
      </c>
    </row>
    <row r="5" spans="1:5" x14ac:dyDescent="0.3">
      <c r="A5" s="85">
        <v>3</v>
      </c>
      <c r="B5" s="85">
        <v>4.0999999999999996</v>
      </c>
      <c r="C5" s="85">
        <v>1.046</v>
      </c>
      <c r="D5" s="85">
        <v>6</v>
      </c>
      <c r="E5" s="85">
        <v>161.15</v>
      </c>
    </row>
    <row r="6" spans="1:5" x14ac:dyDescent="0.3">
      <c r="A6" s="85">
        <v>4</v>
      </c>
      <c r="B6" s="85">
        <v>4.0999999999999996</v>
      </c>
      <c r="C6" s="85">
        <v>1.0529999999999999</v>
      </c>
      <c r="D6" s="85">
        <v>6</v>
      </c>
      <c r="E6" s="85">
        <v>443.48</v>
      </c>
    </row>
    <row r="7" spans="1:5" x14ac:dyDescent="0.3">
      <c r="A7" s="85">
        <v>5</v>
      </c>
      <c r="B7" s="85">
        <v>1</v>
      </c>
      <c r="C7" s="85">
        <v>1.034</v>
      </c>
      <c r="D7" s="85">
        <v>7</v>
      </c>
      <c r="E7" s="85">
        <v>17.22</v>
      </c>
    </row>
    <row r="8" spans="1:5" x14ac:dyDescent="0.3">
      <c r="A8" s="85">
        <v>6</v>
      </c>
      <c r="B8" s="85">
        <v>1</v>
      </c>
      <c r="C8" s="85">
        <v>1.0349999999999999</v>
      </c>
      <c r="D8" s="85">
        <v>7</v>
      </c>
      <c r="E8" s="85">
        <v>21.63</v>
      </c>
    </row>
    <row r="9" spans="1:5" x14ac:dyDescent="0.3">
      <c r="A9" s="85">
        <v>7</v>
      </c>
      <c r="B9" s="85">
        <v>1</v>
      </c>
      <c r="C9" s="85">
        <v>1.036</v>
      </c>
      <c r="D9" s="85">
        <v>7</v>
      </c>
      <c r="E9" s="85">
        <v>5.76</v>
      </c>
    </row>
    <row r="10" spans="1:5" x14ac:dyDescent="0.3">
      <c r="A10" s="85">
        <v>8</v>
      </c>
      <c r="B10" s="85">
        <v>4.0999999999999996</v>
      </c>
      <c r="C10" s="85">
        <v>1.054</v>
      </c>
      <c r="D10" s="85">
        <v>7</v>
      </c>
      <c r="E10" s="85">
        <v>14.54</v>
      </c>
    </row>
    <row r="11" spans="1:5" x14ac:dyDescent="0.3">
      <c r="A11" s="85">
        <v>9</v>
      </c>
      <c r="B11" s="85">
        <v>4.0999999999999996</v>
      </c>
      <c r="C11" s="85">
        <v>1.054</v>
      </c>
      <c r="D11" s="85">
        <v>7.1</v>
      </c>
      <c r="E11" s="85">
        <v>46.62</v>
      </c>
    </row>
    <row r="12" spans="1:5" x14ac:dyDescent="0.3">
      <c r="A12" s="85">
        <v>10</v>
      </c>
      <c r="B12" s="85">
        <v>4.0999999999999996</v>
      </c>
      <c r="C12" s="85">
        <v>1.048</v>
      </c>
      <c r="D12" s="85">
        <v>8.1</v>
      </c>
      <c r="E12" s="85">
        <v>23.92</v>
      </c>
    </row>
    <row r="13" spans="1:5" x14ac:dyDescent="0.3">
      <c r="A13" s="85">
        <v>11</v>
      </c>
      <c r="B13" s="85">
        <v>1</v>
      </c>
      <c r="C13" s="85">
        <v>1.0369999999999999</v>
      </c>
      <c r="D13" s="85">
        <v>8.1999999999999993</v>
      </c>
      <c r="E13" s="85">
        <v>3.34</v>
      </c>
    </row>
    <row r="14" spans="1:5" x14ac:dyDescent="0.3">
      <c r="A14" s="85">
        <v>12</v>
      </c>
      <c r="B14" s="85">
        <v>1</v>
      </c>
      <c r="C14" s="85">
        <v>1.038</v>
      </c>
      <c r="D14" s="85">
        <v>8.1999999999999993</v>
      </c>
      <c r="E14" s="85">
        <v>5.25</v>
      </c>
    </row>
    <row r="15" spans="1:5" x14ac:dyDescent="0.3">
      <c r="A15" s="85">
        <v>13</v>
      </c>
      <c r="B15" s="85">
        <v>1</v>
      </c>
      <c r="C15" s="85">
        <v>1.026</v>
      </c>
      <c r="D15" s="85">
        <v>9</v>
      </c>
      <c r="E15" s="85">
        <v>191.68</v>
      </c>
    </row>
    <row r="16" spans="1:5" x14ac:dyDescent="0.3">
      <c r="A16" s="85">
        <v>14</v>
      </c>
      <c r="B16" s="85">
        <v>1</v>
      </c>
      <c r="C16" s="85">
        <v>1.0269999999999999</v>
      </c>
      <c r="D16" s="85">
        <v>9</v>
      </c>
      <c r="E16" s="85">
        <v>114.04</v>
      </c>
    </row>
    <row r="17" spans="1:5" x14ac:dyDescent="0.3">
      <c r="A17" s="85">
        <v>15</v>
      </c>
      <c r="B17" s="85">
        <v>1</v>
      </c>
      <c r="C17" s="85">
        <v>1.028</v>
      </c>
      <c r="D17" s="85">
        <v>9</v>
      </c>
      <c r="E17" s="85">
        <v>68.81</v>
      </c>
    </row>
    <row r="18" spans="1:5" x14ac:dyDescent="0.3">
      <c r="A18" s="85">
        <v>16</v>
      </c>
      <c r="B18" s="85">
        <v>1</v>
      </c>
      <c r="C18" s="85">
        <v>1.0289999999999999</v>
      </c>
      <c r="D18" s="85">
        <v>9</v>
      </c>
      <c r="E18" s="85">
        <v>68.81</v>
      </c>
    </row>
    <row r="19" spans="1:5" x14ac:dyDescent="0.3">
      <c r="A19" s="85">
        <v>17</v>
      </c>
      <c r="B19" s="85">
        <v>1</v>
      </c>
      <c r="C19" s="85">
        <v>1.03</v>
      </c>
      <c r="D19" s="85">
        <v>9</v>
      </c>
      <c r="E19" s="85">
        <v>68.89</v>
      </c>
    </row>
    <row r="20" spans="1:5" x14ac:dyDescent="0.3">
      <c r="A20" s="85">
        <v>18</v>
      </c>
      <c r="B20" s="85">
        <v>1</v>
      </c>
      <c r="C20" s="85">
        <v>1.0309999999999999</v>
      </c>
      <c r="D20" s="85">
        <v>9</v>
      </c>
      <c r="E20" s="85">
        <v>68.89</v>
      </c>
    </row>
    <row r="21" spans="1:5" x14ac:dyDescent="0.3">
      <c r="A21" s="85">
        <v>19</v>
      </c>
      <c r="B21" s="85">
        <v>1</v>
      </c>
      <c r="C21" s="85">
        <v>1.032</v>
      </c>
      <c r="D21" s="85">
        <v>9</v>
      </c>
      <c r="E21" s="85">
        <v>68.069999999999993</v>
      </c>
    </row>
    <row r="22" spans="1:5" x14ac:dyDescent="0.3">
      <c r="A22" s="85">
        <v>20</v>
      </c>
      <c r="B22" s="85">
        <v>1</v>
      </c>
      <c r="C22" s="85">
        <v>1.0329999999999999</v>
      </c>
      <c r="D22" s="85">
        <v>9</v>
      </c>
      <c r="E22" s="85">
        <v>139.1</v>
      </c>
    </row>
    <row r="23" spans="1:5" x14ac:dyDescent="0.3">
      <c r="A23" s="85">
        <v>21</v>
      </c>
      <c r="B23" s="85">
        <v>1</v>
      </c>
      <c r="C23" s="85">
        <v>1.0389999999999999</v>
      </c>
      <c r="D23" s="85">
        <v>9</v>
      </c>
      <c r="E23" s="85">
        <v>149.69999999999999</v>
      </c>
    </row>
    <row r="24" spans="1:5" x14ac:dyDescent="0.3">
      <c r="A24" s="85">
        <v>22</v>
      </c>
      <c r="B24" s="85">
        <v>4.0999999999999996</v>
      </c>
      <c r="C24" s="85">
        <v>1.04</v>
      </c>
      <c r="D24" s="85">
        <v>9</v>
      </c>
      <c r="E24" s="85">
        <v>220.47</v>
      </c>
    </row>
    <row r="25" spans="1:5" x14ac:dyDescent="0.3">
      <c r="A25" s="85">
        <v>23</v>
      </c>
      <c r="B25" s="85">
        <v>4.0999999999999996</v>
      </c>
      <c r="C25" s="85">
        <v>1.0429999999999999</v>
      </c>
      <c r="D25" s="85">
        <v>9</v>
      </c>
      <c r="E25" s="85">
        <v>61.99</v>
      </c>
    </row>
    <row r="26" spans="1:5" x14ac:dyDescent="0.3">
      <c r="A26" s="85">
        <v>24</v>
      </c>
      <c r="B26" s="85">
        <v>4.0999999999999996</v>
      </c>
      <c r="C26" s="85">
        <v>1.044</v>
      </c>
      <c r="D26" s="85">
        <v>9</v>
      </c>
      <c r="E26" s="85">
        <v>14.14</v>
      </c>
    </row>
    <row r="27" spans="1:5" x14ac:dyDescent="0.3">
      <c r="A27" s="85">
        <v>25</v>
      </c>
      <c r="B27" s="85">
        <v>4.0999999999999996</v>
      </c>
      <c r="C27" s="85">
        <v>1.0489999999999999</v>
      </c>
      <c r="D27" s="85">
        <v>9</v>
      </c>
      <c r="E27" s="85">
        <v>103.8</v>
      </c>
    </row>
    <row r="28" spans="1:5" x14ac:dyDescent="0.3">
      <c r="A28" s="85">
        <v>26</v>
      </c>
      <c r="B28" s="85">
        <v>4.0999999999999996</v>
      </c>
      <c r="C28" s="85">
        <v>1.05</v>
      </c>
      <c r="D28" s="85">
        <v>9</v>
      </c>
      <c r="E28" s="85">
        <v>22</v>
      </c>
    </row>
    <row r="29" spans="1:5" x14ac:dyDescent="0.3">
      <c r="A29" s="85">
        <v>27</v>
      </c>
      <c r="B29" s="85">
        <v>4.0999999999999996</v>
      </c>
      <c r="C29" s="85">
        <v>1.0509999999999999</v>
      </c>
      <c r="D29" s="85">
        <v>9</v>
      </c>
      <c r="E29" s="85">
        <v>31.58</v>
      </c>
    </row>
    <row r="30" spans="1:5" x14ac:dyDescent="0.3">
      <c r="A30" s="57"/>
      <c r="B30" s="34"/>
      <c r="C30" s="54"/>
      <c r="D30" s="34" t="s">
        <v>52</v>
      </c>
      <c r="E30" s="71">
        <f>SUM(E1:E29)</f>
        <v>2310.2799999999997</v>
      </c>
    </row>
  </sheetData>
  <mergeCells count="1"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23"/>
  <sheetViews>
    <sheetView workbookViewId="0">
      <selection activeCell="F19" sqref="F19"/>
    </sheetView>
  </sheetViews>
  <sheetFormatPr defaultRowHeight="14.4" x14ac:dyDescent="0.3"/>
  <cols>
    <col min="1" max="1" width="6.5546875" customWidth="1"/>
    <col min="2" max="2" width="4.6640625" customWidth="1"/>
    <col min="3" max="3" width="7.109375" customWidth="1"/>
    <col min="4" max="4" width="6.88671875" customWidth="1"/>
  </cols>
  <sheetData>
    <row r="1" spans="1:5" x14ac:dyDescent="0.3">
      <c r="A1" s="258" t="s">
        <v>111</v>
      </c>
      <c r="B1" s="259"/>
      <c r="C1" s="259"/>
      <c r="D1" s="259"/>
      <c r="E1" s="260"/>
    </row>
    <row r="2" spans="1:5" x14ac:dyDescent="0.3">
      <c r="A2" s="85" t="s">
        <v>0</v>
      </c>
      <c r="B2" s="85" t="s">
        <v>97</v>
      </c>
      <c r="C2" s="85" t="s">
        <v>98</v>
      </c>
      <c r="D2" s="85" t="s">
        <v>93</v>
      </c>
      <c r="E2" s="85" t="s">
        <v>51</v>
      </c>
    </row>
    <row r="3" spans="1:5" x14ac:dyDescent="0.3">
      <c r="A3" s="85">
        <v>1</v>
      </c>
      <c r="B3" s="85">
        <v>4.0999999999999996</v>
      </c>
      <c r="C3" s="88">
        <v>2.16</v>
      </c>
      <c r="D3" s="85">
        <v>4.4000000000000004</v>
      </c>
      <c r="E3" s="85">
        <v>72.64</v>
      </c>
    </row>
    <row r="4" spans="1:5" x14ac:dyDescent="0.3">
      <c r="A4" s="85">
        <v>2</v>
      </c>
      <c r="B4" s="85">
        <v>1</v>
      </c>
      <c r="C4" s="88">
        <v>2.0049999999999999</v>
      </c>
      <c r="D4" s="85">
        <v>6.1</v>
      </c>
      <c r="E4" s="85">
        <v>13.62</v>
      </c>
    </row>
    <row r="5" spans="1:5" x14ac:dyDescent="0.3">
      <c r="A5" s="85">
        <v>3</v>
      </c>
      <c r="B5" s="85">
        <v>4.0999999999999996</v>
      </c>
      <c r="C5" s="88">
        <v>2.0840000000000001</v>
      </c>
      <c r="D5" s="85">
        <v>6.1</v>
      </c>
      <c r="E5" s="87">
        <v>16</v>
      </c>
    </row>
    <row r="6" spans="1:5" x14ac:dyDescent="0.3">
      <c r="A6" s="85">
        <v>4</v>
      </c>
      <c r="B6" s="85">
        <v>4.0999999999999996</v>
      </c>
      <c r="C6" s="88">
        <v>2.0870000000000002</v>
      </c>
      <c r="D6" s="85">
        <v>6.1</v>
      </c>
      <c r="E6" s="85">
        <v>19.46</v>
      </c>
    </row>
    <row r="7" spans="1:5" x14ac:dyDescent="0.3">
      <c r="A7" s="85">
        <v>5</v>
      </c>
      <c r="B7" s="85">
        <v>4.0999999999999996</v>
      </c>
      <c r="C7" s="88">
        <v>2.109</v>
      </c>
      <c r="D7" s="85">
        <v>6.1</v>
      </c>
      <c r="E7" s="85">
        <v>33.049999999999997</v>
      </c>
    </row>
    <row r="8" spans="1:5" x14ac:dyDescent="0.3">
      <c r="A8" s="85">
        <v>6</v>
      </c>
      <c r="B8" s="85">
        <v>4.0999999999999996</v>
      </c>
      <c r="C8" s="88">
        <v>2.1680000000000001</v>
      </c>
      <c r="D8" s="85">
        <v>6.1</v>
      </c>
      <c r="E8" s="85">
        <v>8.02</v>
      </c>
    </row>
    <row r="9" spans="1:5" x14ac:dyDescent="0.3">
      <c r="A9" s="85">
        <v>7</v>
      </c>
      <c r="B9" s="85">
        <v>1</v>
      </c>
      <c r="C9" s="88">
        <v>2.0139999999999998</v>
      </c>
      <c r="D9" s="85">
        <v>7.2</v>
      </c>
      <c r="E9" s="85">
        <v>17.22</v>
      </c>
    </row>
    <row r="10" spans="1:5" x14ac:dyDescent="0.3">
      <c r="A10" s="85">
        <v>8</v>
      </c>
      <c r="B10" s="85">
        <v>1</v>
      </c>
      <c r="C10" s="88">
        <v>2.0150000000000001</v>
      </c>
      <c r="D10" s="85">
        <v>7.2</v>
      </c>
      <c r="E10" s="85">
        <v>21.87</v>
      </c>
    </row>
    <row r="11" spans="1:5" x14ac:dyDescent="0.3">
      <c r="A11" s="85">
        <v>9</v>
      </c>
      <c r="B11" s="85">
        <v>1</v>
      </c>
      <c r="C11" s="88">
        <v>2.016</v>
      </c>
      <c r="D11" s="85">
        <v>7.2</v>
      </c>
      <c r="E11" s="85">
        <v>5.0599999999999996</v>
      </c>
    </row>
    <row r="12" spans="1:5" x14ac:dyDescent="0.3">
      <c r="A12" s="85">
        <v>10</v>
      </c>
      <c r="B12" s="85">
        <v>4.0999999999999996</v>
      </c>
      <c r="C12" s="88">
        <v>2.089</v>
      </c>
      <c r="D12" s="85">
        <v>7.2</v>
      </c>
      <c r="E12" s="85">
        <v>6.05</v>
      </c>
    </row>
    <row r="13" spans="1:5" x14ac:dyDescent="0.3">
      <c r="A13" s="85">
        <v>11</v>
      </c>
      <c r="B13" s="85">
        <v>4.0999999999999996</v>
      </c>
      <c r="C13" s="88">
        <v>2.09</v>
      </c>
      <c r="D13" s="85">
        <v>7.2</v>
      </c>
      <c r="E13" s="85">
        <v>12.15</v>
      </c>
    </row>
    <row r="14" spans="1:5" x14ac:dyDescent="0.3">
      <c r="A14" s="85">
        <v>12</v>
      </c>
      <c r="B14" s="85">
        <v>4.0999999999999996</v>
      </c>
      <c r="C14" s="88">
        <v>2.0910000000000002</v>
      </c>
      <c r="D14" s="85">
        <v>7.2</v>
      </c>
      <c r="E14" s="85">
        <v>10.63</v>
      </c>
    </row>
    <row r="15" spans="1:5" x14ac:dyDescent="0.3">
      <c r="A15" s="85">
        <v>13</v>
      </c>
      <c r="B15" s="85">
        <v>4.0999999999999996</v>
      </c>
      <c r="C15" s="88">
        <v>2.0950000000000002</v>
      </c>
      <c r="D15" s="85">
        <v>7.2</v>
      </c>
      <c r="E15" s="85">
        <v>8.7899999999999991</v>
      </c>
    </row>
    <row r="16" spans="1:5" x14ac:dyDescent="0.3">
      <c r="A16" s="85">
        <v>14</v>
      </c>
      <c r="B16" s="85">
        <v>4.0999999999999996</v>
      </c>
      <c r="C16" s="88">
        <v>2.0960000000000001</v>
      </c>
      <c r="D16" s="85">
        <v>7.2</v>
      </c>
      <c r="E16" s="85">
        <v>14.39</v>
      </c>
    </row>
    <row r="17" spans="1:5" x14ac:dyDescent="0.3">
      <c r="A17" s="85">
        <v>15</v>
      </c>
      <c r="B17" s="85">
        <v>4.0999999999999996</v>
      </c>
      <c r="C17" s="88">
        <v>2.1</v>
      </c>
      <c r="D17" s="85">
        <v>7.2</v>
      </c>
      <c r="E17" s="85">
        <v>8.19</v>
      </c>
    </row>
    <row r="18" spans="1:5" x14ac:dyDescent="0.3">
      <c r="A18" s="85">
        <v>16</v>
      </c>
      <c r="B18" s="85">
        <v>4.0999999999999996</v>
      </c>
      <c r="C18" s="88">
        <v>2.101</v>
      </c>
      <c r="D18" s="85">
        <v>7.2</v>
      </c>
      <c r="E18" s="85">
        <v>12.22</v>
      </c>
    </row>
    <row r="19" spans="1:5" x14ac:dyDescent="0.3">
      <c r="A19" s="85">
        <v>17</v>
      </c>
      <c r="B19" s="85">
        <v>4.0999999999999996</v>
      </c>
      <c r="C19" s="88">
        <v>2.1040000000000001</v>
      </c>
      <c r="D19" s="85">
        <v>7.2</v>
      </c>
      <c r="E19" s="85">
        <v>8.4499999999999993</v>
      </c>
    </row>
    <row r="20" spans="1:5" x14ac:dyDescent="0.3">
      <c r="A20" s="85">
        <v>18</v>
      </c>
      <c r="B20" s="85">
        <v>4.0999999999999996</v>
      </c>
      <c r="C20" s="88">
        <v>2.105</v>
      </c>
      <c r="D20" s="85">
        <v>7.2</v>
      </c>
      <c r="E20" s="85">
        <v>14.25</v>
      </c>
    </row>
    <row r="21" spans="1:5" x14ac:dyDescent="0.3">
      <c r="A21" s="85">
        <v>19</v>
      </c>
      <c r="B21" s="85">
        <v>4.0999999999999996</v>
      </c>
      <c r="C21" s="88">
        <v>2.1070000000000002</v>
      </c>
      <c r="D21" s="85">
        <v>7.2</v>
      </c>
      <c r="E21" s="85">
        <v>8.14</v>
      </c>
    </row>
    <row r="22" spans="1:5" x14ac:dyDescent="0.3">
      <c r="A22" s="85">
        <v>20</v>
      </c>
      <c r="B22" s="85">
        <v>4.0999999999999996</v>
      </c>
      <c r="C22" s="88">
        <v>2.1080000000000001</v>
      </c>
      <c r="D22" s="85">
        <v>7.2</v>
      </c>
      <c r="E22" s="85">
        <v>16.28</v>
      </c>
    </row>
    <row r="23" spans="1:5" x14ac:dyDescent="0.3">
      <c r="A23" s="57"/>
      <c r="B23" s="34"/>
      <c r="C23" s="54"/>
      <c r="D23" s="34" t="s">
        <v>52</v>
      </c>
      <c r="E23" s="71">
        <f>SUM(E3:E22)</f>
        <v>326.48</v>
      </c>
    </row>
  </sheetData>
  <mergeCells count="1"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8"/>
  <sheetViews>
    <sheetView workbookViewId="0">
      <selection activeCell="F19" sqref="F19"/>
    </sheetView>
  </sheetViews>
  <sheetFormatPr defaultRowHeight="14.4" x14ac:dyDescent="0.3"/>
  <cols>
    <col min="1" max="4" width="6.109375" customWidth="1"/>
    <col min="5" max="5" width="8" customWidth="1"/>
  </cols>
  <sheetData>
    <row r="1" spans="1:5" x14ac:dyDescent="0.3">
      <c r="A1" s="255" t="s">
        <v>109</v>
      </c>
      <c r="B1" s="256"/>
      <c r="C1" s="256"/>
      <c r="D1" s="256"/>
      <c r="E1" s="257"/>
    </row>
    <row r="2" spans="1:5" x14ac:dyDescent="0.3">
      <c r="A2" s="76" t="s">
        <v>0</v>
      </c>
      <c r="B2" s="65" t="s">
        <v>97</v>
      </c>
      <c r="C2" s="77" t="s">
        <v>98</v>
      </c>
      <c r="D2" s="65" t="s">
        <v>93</v>
      </c>
      <c r="E2" s="78" t="s">
        <v>51</v>
      </c>
    </row>
    <row r="3" spans="1:5" x14ac:dyDescent="0.3">
      <c r="A3" s="68">
        <v>1</v>
      </c>
      <c r="B3" s="64">
        <v>1</v>
      </c>
      <c r="C3" s="8">
        <v>3.0059999999999998</v>
      </c>
      <c r="D3" s="64">
        <v>6.1</v>
      </c>
      <c r="E3" s="75">
        <v>13.62</v>
      </c>
    </row>
    <row r="4" spans="1:5" x14ac:dyDescent="0.3">
      <c r="A4" s="68">
        <v>2</v>
      </c>
      <c r="B4" s="64">
        <v>4.0999999999999996</v>
      </c>
      <c r="C4" s="8">
        <v>3.0939999999999999</v>
      </c>
      <c r="D4" s="64">
        <v>6.1</v>
      </c>
      <c r="E4" s="75">
        <v>15.07</v>
      </c>
    </row>
    <row r="5" spans="1:5" x14ac:dyDescent="0.3">
      <c r="A5" s="68">
        <v>3</v>
      </c>
      <c r="B5" s="64">
        <v>1</v>
      </c>
      <c r="C5" s="8">
        <v>3.0150000000000001</v>
      </c>
      <c r="D5" s="64">
        <v>7.2</v>
      </c>
      <c r="E5" s="75">
        <v>17.21</v>
      </c>
    </row>
    <row r="6" spans="1:5" x14ac:dyDescent="0.3">
      <c r="A6" s="68">
        <v>4</v>
      </c>
      <c r="B6" s="64">
        <v>1</v>
      </c>
      <c r="C6" s="8">
        <v>3.016</v>
      </c>
      <c r="D6" s="64">
        <v>7.2</v>
      </c>
      <c r="E6" s="75">
        <v>21.12</v>
      </c>
    </row>
    <row r="7" spans="1:5" x14ac:dyDescent="0.3">
      <c r="A7" s="68">
        <v>5</v>
      </c>
      <c r="B7" s="64">
        <v>1</v>
      </c>
      <c r="C7" s="8">
        <v>3.0169999999999999</v>
      </c>
      <c r="D7" s="64">
        <v>7.2</v>
      </c>
      <c r="E7" s="75">
        <v>5.0599999999999996</v>
      </c>
    </row>
    <row r="8" spans="1:5" x14ac:dyDescent="0.3">
      <c r="A8" s="57"/>
      <c r="B8" s="34"/>
      <c r="C8" s="54"/>
      <c r="D8" s="34" t="s">
        <v>52</v>
      </c>
      <c r="E8" s="71">
        <f>SUM(E3:E7)</f>
        <v>72.08</v>
      </c>
    </row>
  </sheetData>
  <mergeCells count="1">
    <mergeCell ref="A1:E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70"/>
  <sheetViews>
    <sheetView zoomScaleNormal="100" workbookViewId="0">
      <selection activeCell="C133" activeCellId="2" sqref="C159:D160 C147:D147 C133:D134"/>
    </sheetView>
  </sheetViews>
  <sheetFormatPr defaultRowHeight="14.4" x14ac:dyDescent="0.3"/>
  <cols>
    <col min="3" max="3" width="9.109375" style="63"/>
    <col min="5" max="5" width="10.6640625" style="61" customWidth="1"/>
  </cols>
  <sheetData>
    <row r="1" spans="1:7" x14ac:dyDescent="0.3">
      <c r="A1" s="255" t="s">
        <v>48</v>
      </c>
      <c r="B1" s="256"/>
      <c r="C1" s="256"/>
      <c r="D1" s="256"/>
      <c r="E1" s="257"/>
    </row>
    <row r="2" spans="1:7" x14ac:dyDescent="0.3">
      <c r="A2" s="76" t="s">
        <v>0</v>
      </c>
      <c r="B2" s="65" t="s">
        <v>97</v>
      </c>
      <c r="C2" s="77" t="s">
        <v>98</v>
      </c>
      <c r="D2" s="65" t="s">
        <v>93</v>
      </c>
      <c r="E2" s="84" t="s">
        <v>51</v>
      </c>
    </row>
    <row r="3" spans="1:7" x14ac:dyDescent="0.3">
      <c r="A3" s="68">
        <v>1</v>
      </c>
      <c r="B3" s="64">
        <v>1</v>
      </c>
      <c r="C3" s="64">
        <v>1.024</v>
      </c>
      <c r="D3" s="64">
        <v>6</v>
      </c>
      <c r="E3" s="75">
        <v>13.62</v>
      </c>
    </row>
    <row r="4" spans="1:7" x14ac:dyDescent="0.3">
      <c r="A4" s="68">
        <v>2</v>
      </c>
      <c r="B4" s="64">
        <v>4.0999999999999996</v>
      </c>
      <c r="C4" s="64">
        <v>1.0449999999999999</v>
      </c>
      <c r="D4" s="64">
        <v>6</v>
      </c>
      <c r="E4" s="75">
        <v>161.78</v>
      </c>
    </row>
    <row r="5" spans="1:7" x14ac:dyDescent="0.3">
      <c r="A5" s="68">
        <v>3</v>
      </c>
      <c r="B5" s="64">
        <v>4.0999999999999996</v>
      </c>
      <c r="C5" s="64">
        <v>1.046</v>
      </c>
      <c r="D5" s="64">
        <v>6</v>
      </c>
      <c r="E5" s="75">
        <v>161.15</v>
      </c>
      <c r="G5" t="e">
        <f t="shared" ref="G5:G18" si="0">--MID($G$62,IF(ROW(A2)=1,1,FIND("; ",$G$62,FIND("; ",$G$62,1)*(ROW(A2)-1))+2),FIND("; ",$G$62&amp;"; ",IF(ROW(A2)=1,1,FIND("; ",$G$62,FIND("; ",$G$62,1)*(ROW(A2)-1))+2))-IF(ROW(A2)=1,1,FIND("; ",$G$62,FIND("; ",$G$62,1)*(ROW(A2)-1))+2))</f>
        <v>#VALUE!</v>
      </c>
    </row>
    <row r="6" spans="1:7" x14ac:dyDescent="0.3">
      <c r="A6" s="68">
        <v>4</v>
      </c>
      <c r="B6" s="64">
        <v>4.0999999999999996</v>
      </c>
      <c r="C6" s="64">
        <v>1.0529999999999999</v>
      </c>
      <c r="D6" s="64">
        <v>6</v>
      </c>
      <c r="E6" s="75">
        <v>443.48</v>
      </c>
      <c r="G6" t="e">
        <f t="shared" si="0"/>
        <v>#VALUE!</v>
      </c>
    </row>
    <row r="7" spans="1:7" hidden="1" x14ac:dyDescent="0.3">
      <c r="A7" s="68">
        <v>5</v>
      </c>
      <c r="B7" s="64">
        <v>1</v>
      </c>
      <c r="C7" s="64">
        <v>1.034</v>
      </c>
      <c r="D7" s="64">
        <v>7</v>
      </c>
      <c r="E7" s="75">
        <v>17.22</v>
      </c>
      <c r="G7" t="e">
        <f t="shared" si="0"/>
        <v>#VALUE!</v>
      </c>
    </row>
    <row r="8" spans="1:7" hidden="1" x14ac:dyDescent="0.3">
      <c r="A8" s="68">
        <v>6</v>
      </c>
      <c r="B8" s="64">
        <v>1</v>
      </c>
      <c r="C8" s="64">
        <v>1.0349999999999999</v>
      </c>
      <c r="D8" s="64">
        <v>7</v>
      </c>
      <c r="E8" s="75">
        <v>21.63</v>
      </c>
      <c r="G8" t="e">
        <f t="shared" si="0"/>
        <v>#VALUE!</v>
      </c>
    </row>
    <row r="9" spans="1:7" hidden="1" x14ac:dyDescent="0.3">
      <c r="A9" s="68">
        <v>7</v>
      </c>
      <c r="B9" s="64">
        <v>1</v>
      </c>
      <c r="C9" s="64">
        <v>1.036</v>
      </c>
      <c r="D9" s="64">
        <v>7</v>
      </c>
      <c r="E9" s="75">
        <v>5.76</v>
      </c>
      <c r="G9" t="e">
        <f t="shared" si="0"/>
        <v>#VALUE!</v>
      </c>
    </row>
    <row r="10" spans="1:7" hidden="1" x14ac:dyDescent="0.3">
      <c r="A10" s="68">
        <v>8</v>
      </c>
      <c r="B10" s="64">
        <v>4.0999999999999996</v>
      </c>
      <c r="C10" s="64">
        <v>1.054</v>
      </c>
      <c r="D10" s="64">
        <v>7</v>
      </c>
      <c r="E10" s="75">
        <v>14.54</v>
      </c>
      <c r="G10" t="e">
        <f t="shared" si="0"/>
        <v>#VALUE!</v>
      </c>
    </row>
    <row r="11" spans="1:7" x14ac:dyDescent="0.3">
      <c r="A11" s="68">
        <v>9</v>
      </c>
      <c r="B11" s="64">
        <v>4.0999999999999996</v>
      </c>
      <c r="C11" s="64">
        <v>1.054</v>
      </c>
      <c r="D11" s="64">
        <v>7.1</v>
      </c>
      <c r="E11" s="75">
        <v>46.62</v>
      </c>
      <c r="G11" t="e">
        <f t="shared" si="0"/>
        <v>#VALUE!</v>
      </c>
    </row>
    <row r="12" spans="1:7" x14ac:dyDescent="0.3">
      <c r="A12" s="68">
        <v>10</v>
      </c>
      <c r="B12" s="64">
        <v>4.0999999999999996</v>
      </c>
      <c r="C12" s="64">
        <v>1.048</v>
      </c>
      <c r="D12" s="64">
        <v>8.1</v>
      </c>
      <c r="E12" s="75">
        <v>23.92</v>
      </c>
      <c r="G12" t="e">
        <f t="shared" si="0"/>
        <v>#VALUE!</v>
      </c>
    </row>
    <row r="13" spans="1:7" x14ac:dyDescent="0.3">
      <c r="A13" s="68">
        <v>11</v>
      </c>
      <c r="B13" s="64">
        <v>1</v>
      </c>
      <c r="C13" s="64">
        <v>1.0369999999999999</v>
      </c>
      <c r="D13" s="64">
        <v>8.1999999999999993</v>
      </c>
      <c r="E13" s="75">
        <v>3.34</v>
      </c>
      <c r="G13" t="e">
        <f t="shared" si="0"/>
        <v>#VALUE!</v>
      </c>
    </row>
    <row r="14" spans="1:7" x14ac:dyDescent="0.3">
      <c r="A14" s="68">
        <v>12</v>
      </c>
      <c r="B14" s="64">
        <v>1</v>
      </c>
      <c r="C14" s="64">
        <v>1.038</v>
      </c>
      <c r="D14" s="64">
        <v>8.1999999999999993</v>
      </c>
      <c r="E14" s="75">
        <v>5.25</v>
      </c>
      <c r="G14" t="e">
        <f t="shared" si="0"/>
        <v>#VALUE!</v>
      </c>
    </row>
    <row r="15" spans="1:7" x14ac:dyDescent="0.3">
      <c r="A15" s="68">
        <v>13</v>
      </c>
      <c r="B15" s="64">
        <v>1</v>
      </c>
      <c r="C15" s="8">
        <v>1.026</v>
      </c>
      <c r="D15" s="64">
        <v>9</v>
      </c>
      <c r="E15" s="75">
        <v>191.68</v>
      </c>
      <c r="G15" t="e">
        <f t="shared" si="0"/>
        <v>#VALUE!</v>
      </c>
    </row>
    <row r="16" spans="1:7" x14ac:dyDescent="0.3">
      <c r="A16" s="68">
        <v>14</v>
      </c>
      <c r="B16" s="64">
        <v>1</v>
      </c>
      <c r="C16" s="54">
        <v>1.0269999999999999</v>
      </c>
      <c r="D16" s="64">
        <v>9</v>
      </c>
      <c r="E16" s="75">
        <v>114.04</v>
      </c>
      <c r="G16" t="e">
        <f t="shared" si="0"/>
        <v>#VALUE!</v>
      </c>
    </row>
    <row r="17" spans="1:7" x14ac:dyDescent="0.3">
      <c r="A17" s="68">
        <v>15</v>
      </c>
      <c r="B17" s="64">
        <v>1</v>
      </c>
      <c r="C17" s="54">
        <v>1.028</v>
      </c>
      <c r="D17" s="64">
        <v>9</v>
      </c>
      <c r="E17" s="75">
        <v>68.81</v>
      </c>
      <c r="G17" t="e">
        <f t="shared" si="0"/>
        <v>#VALUE!</v>
      </c>
    </row>
    <row r="18" spans="1:7" x14ac:dyDescent="0.3">
      <c r="A18" s="68">
        <v>16</v>
      </c>
      <c r="B18" s="64">
        <v>1</v>
      </c>
      <c r="C18" s="54">
        <v>1.0289999999999999</v>
      </c>
      <c r="D18" s="64">
        <v>9</v>
      </c>
      <c r="E18" s="75">
        <v>68.81</v>
      </c>
      <c r="G18" t="e">
        <f t="shared" si="0"/>
        <v>#VALUE!</v>
      </c>
    </row>
    <row r="19" spans="1:7" x14ac:dyDescent="0.3">
      <c r="A19" s="68">
        <v>17</v>
      </c>
      <c r="B19" s="64">
        <v>1</v>
      </c>
      <c r="C19" s="54">
        <v>1.03</v>
      </c>
      <c r="D19" s="64">
        <v>9</v>
      </c>
      <c r="E19" s="75">
        <v>68.89</v>
      </c>
    </row>
    <row r="20" spans="1:7" x14ac:dyDescent="0.3">
      <c r="A20" s="68">
        <v>18</v>
      </c>
      <c r="B20" s="64">
        <v>1</v>
      </c>
      <c r="C20" s="54">
        <v>1.0309999999999999</v>
      </c>
      <c r="D20" s="64">
        <v>9</v>
      </c>
      <c r="E20" s="75">
        <v>68.89</v>
      </c>
    </row>
    <row r="21" spans="1:7" x14ac:dyDescent="0.3">
      <c r="A21" s="68">
        <v>19</v>
      </c>
      <c r="B21" s="64">
        <v>1</v>
      </c>
      <c r="C21" s="54">
        <v>1.032</v>
      </c>
      <c r="D21" s="64">
        <v>9</v>
      </c>
      <c r="E21" s="75">
        <v>68.069999999999993</v>
      </c>
    </row>
    <row r="22" spans="1:7" x14ac:dyDescent="0.3">
      <c r="A22" s="68">
        <v>20</v>
      </c>
      <c r="B22" s="64">
        <v>1</v>
      </c>
      <c r="C22" s="54">
        <v>1.0329999999999999</v>
      </c>
      <c r="D22" s="64">
        <v>9</v>
      </c>
      <c r="E22" s="75">
        <v>139.1</v>
      </c>
    </row>
    <row r="23" spans="1:7" x14ac:dyDescent="0.3">
      <c r="A23" s="68">
        <v>21</v>
      </c>
      <c r="B23" s="64">
        <v>1</v>
      </c>
      <c r="C23" s="54">
        <v>1.0389999999999999</v>
      </c>
      <c r="D23" s="64">
        <v>9</v>
      </c>
      <c r="E23" s="75">
        <v>149.69999999999999</v>
      </c>
    </row>
    <row r="24" spans="1:7" x14ac:dyDescent="0.3">
      <c r="A24" s="68">
        <v>22</v>
      </c>
      <c r="B24" s="64">
        <v>4.0999999999999996</v>
      </c>
      <c r="C24" s="54">
        <v>1.04</v>
      </c>
      <c r="D24" s="64">
        <v>9</v>
      </c>
      <c r="E24" s="75">
        <v>220.47</v>
      </c>
    </row>
    <row r="25" spans="1:7" x14ac:dyDescent="0.3">
      <c r="A25" s="68">
        <v>23</v>
      </c>
      <c r="B25" s="64">
        <v>4.0999999999999996</v>
      </c>
      <c r="C25" s="54">
        <v>1.0429999999999999</v>
      </c>
      <c r="D25" s="64">
        <v>9</v>
      </c>
      <c r="E25" s="75">
        <v>61.99</v>
      </c>
    </row>
    <row r="26" spans="1:7" x14ac:dyDescent="0.3">
      <c r="A26" s="68">
        <v>24</v>
      </c>
      <c r="B26" s="64">
        <v>4.0999999999999996</v>
      </c>
      <c r="C26" s="54">
        <v>1.044</v>
      </c>
      <c r="D26" s="64">
        <v>9</v>
      </c>
      <c r="E26" s="75">
        <v>14.14</v>
      </c>
    </row>
    <row r="27" spans="1:7" x14ac:dyDescent="0.3">
      <c r="A27" s="68">
        <v>25</v>
      </c>
      <c r="B27" s="64">
        <v>4.0999999999999996</v>
      </c>
      <c r="C27" s="54">
        <v>1.0489999999999999</v>
      </c>
      <c r="D27" s="64">
        <v>9</v>
      </c>
      <c r="E27" s="75">
        <v>103.8</v>
      </c>
    </row>
    <row r="28" spans="1:7" x14ac:dyDescent="0.3">
      <c r="A28" s="68">
        <v>26</v>
      </c>
      <c r="B28" s="64">
        <v>4.0999999999999996</v>
      </c>
      <c r="C28" s="54">
        <v>1.05</v>
      </c>
      <c r="D28" s="64">
        <v>9</v>
      </c>
      <c r="E28" s="75">
        <v>22</v>
      </c>
    </row>
    <row r="29" spans="1:7" x14ac:dyDescent="0.3">
      <c r="A29" s="79">
        <v>27</v>
      </c>
      <c r="B29" s="80">
        <v>4.0999999999999996</v>
      </c>
      <c r="C29" s="81">
        <v>1.0509999999999999</v>
      </c>
      <c r="D29" s="80">
        <v>9</v>
      </c>
      <c r="E29" s="82">
        <v>31.58</v>
      </c>
    </row>
    <row r="30" spans="1:7" x14ac:dyDescent="0.3">
      <c r="A30" s="56"/>
      <c r="B30" s="34"/>
      <c r="C30" s="54"/>
      <c r="D30" s="34"/>
      <c r="E30" s="60"/>
    </row>
    <row r="31" spans="1:7" x14ac:dyDescent="0.3">
      <c r="A31" s="58" t="s">
        <v>48</v>
      </c>
      <c r="B31" s="58"/>
      <c r="C31" s="62"/>
      <c r="D31" s="58"/>
      <c r="E31" s="60"/>
    </row>
    <row r="32" spans="1:7" x14ac:dyDescent="0.3">
      <c r="A32" s="76" t="s">
        <v>0</v>
      </c>
      <c r="B32" s="65" t="s">
        <v>97</v>
      </c>
      <c r="C32" s="77" t="s">
        <v>98</v>
      </c>
      <c r="D32" s="65" t="s">
        <v>93</v>
      </c>
      <c r="E32" s="78" t="s">
        <v>51</v>
      </c>
    </row>
    <row r="33" spans="1:7" x14ac:dyDescent="0.3">
      <c r="A33" s="68">
        <v>1</v>
      </c>
      <c r="B33" s="64">
        <v>4.0999999999999996</v>
      </c>
      <c r="C33" s="8">
        <v>2.16</v>
      </c>
      <c r="D33" s="64">
        <v>4.4000000000000004</v>
      </c>
      <c r="E33" s="75">
        <v>72.64</v>
      </c>
    </row>
    <row r="34" spans="1:7" x14ac:dyDescent="0.3">
      <c r="A34" s="68">
        <v>2</v>
      </c>
      <c r="B34" s="64">
        <v>1</v>
      </c>
      <c r="C34" s="8">
        <v>2.0049999999999999</v>
      </c>
      <c r="D34" s="64">
        <v>6.1</v>
      </c>
      <c r="E34" s="75">
        <v>13.62</v>
      </c>
      <c r="G34">
        <v>73.55</v>
      </c>
    </row>
    <row r="35" spans="1:7" x14ac:dyDescent="0.3">
      <c r="A35" s="68">
        <v>3</v>
      </c>
      <c r="B35" s="64">
        <v>4.0999999999999996</v>
      </c>
      <c r="C35" s="8">
        <v>2.0840000000000001</v>
      </c>
      <c r="D35" s="64">
        <v>6.1</v>
      </c>
      <c r="E35" s="75">
        <v>16</v>
      </c>
      <c r="G35">
        <v>72.239999999999995</v>
      </c>
    </row>
    <row r="36" spans="1:7" x14ac:dyDescent="0.3">
      <c r="A36" s="89">
        <v>4</v>
      </c>
      <c r="B36" s="64">
        <v>4.0999999999999996</v>
      </c>
      <c r="C36" s="8">
        <v>2.0870000000000002</v>
      </c>
      <c r="D36" s="64">
        <v>6.1</v>
      </c>
      <c r="E36" s="75">
        <v>19.46</v>
      </c>
      <c r="G36">
        <v>68.260000000000005</v>
      </c>
    </row>
    <row r="37" spans="1:7" x14ac:dyDescent="0.3">
      <c r="A37" s="68">
        <v>5</v>
      </c>
      <c r="B37" s="64">
        <v>4.0999999999999996</v>
      </c>
      <c r="C37" s="8">
        <v>2.109</v>
      </c>
      <c r="D37" s="64">
        <v>6.1</v>
      </c>
      <c r="E37" s="75">
        <v>33.049999999999997</v>
      </c>
      <c r="G37">
        <v>158.71</v>
      </c>
    </row>
    <row r="38" spans="1:7" x14ac:dyDescent="0.3">
      <c r="A38" s="68">
        <v>6</v>
      </c>
      <c r="B38" s="64">
        <v>4.0999999999999996</v>
      </c>
      <c r="C38" s="8">
        <v>2.1680000000000001</v>
      </c>
      <c r="D38" s="64">
        <v>6.1</v>
      </c>
      <c r="E38" s="75">
        <v>8.02</v>
      </c>
    </row>
    <row r="39" spans="1:7" x14ac:dyDescent="0.3">
      <c r="A39" s="68">
        <v>7</v>
      </c>
      <c r="B39" s="64">
        <v>1</v>
      </c>
      <c r="C39" s="64">
        <v>2.0139999999999998</v>
      </c>
      <c r="D39" s="64">
        <v>7.2</v>
      </c>
      <c r="E39" s="75">
        <v>17.22</v>
      </c>
      <c r="G39">
        <v>68.3</v>
      </c>
    </row>
    <row r="40" spans="1:7" x14ac:dyDescent="0.3">
      <c r="A40" s="68">
        <v>8</v>
      </c>
      <c r="B40" s="64">
        <v>1</v>
      </c>
      <c r="C40" s="64">
        <v>2.0150000000000001</v>
      </c>
      <c r="D40" s="64">
        <v>7.2</v>
      </c>
      <c r="E40" s="75">
        <v>21.87</v>
      </c>
      <c r="G40">
        <v>68.459999999999994</v>
      </c>
    </row>
    <row r="41" spans="1:7" x14ac:dyDescent="0.3">
      <c r="A41" s="68">
        <v>9</v>
      </c>
      <c r="B41" s="64">
        <v>1</v>
      </c>
      <c r="C41" s="64">
        <v>2.016</v>
      </c>
      <c r="D41" s="64">
        <v>7.2</v>
      </c>
      <c r="E41" s="75">
        <v>5.0599999999999996</v>
      </c>
      <c r="G41">
        <v>68.459999999999994</v>
      </c>
    </row>
    <row r="42" spans="1:7" x14ac:dyDescent="0.3">
      <c r="A42" s="68">
        <v>10</v>
      </c>
      <c r="B42" s="64">
        <v>4.0999999999999996</v>
      </c>
      <c r="C42" s="54">
        <v>2.089</v>
      </c>
      <c r="D42" s="64">
        <v>7.2</v>
      </c>
      <c r="E42" s="75">
        <v>6.05</v>
      </c>
      <c r="G42">
        <v>67.64</v>
      </c>
    </row>
    <row r="43" spans="1:7" x14ac:dyDescent="0.3">
      <c r="A43" s="68">
        <v>11</v>
      </c>
      <c r="B43" s="64">
        <v>4.0999999999999996</v>
      </c>
      <c r="C43" s="54">
        <v>2.09</v>
      </c>
      <c r="D43" s="64">
        <v>7.2</v>
      </c>
      <c r="E43" s="75">
        <v>12.15</v>
      </c>
      <c r="G43">
        <v>68.459999999999994</v>
      </c>
    </row>
    <row r="44" spans="1:7" x14ac:dyDescent="0.3">
      <c r="A44" s="68">
        <v>12</v>
      </c>
      <c r="B44" s="64">
        <v>4.0999999999999996</v>
      </c>
      <c r="C44" s="54">
        <v>2.0910000000000002</v>
      </c>
      <c r="D44" s="64">
        <v>7.2</v>
      </c>
      <c r="E44" s="75">
        <v>10.63</v>
      </c>
      <c r="G44">
        <v>149.25</v>
      </c>
    </row>
    <row r="45" spans="1:7" x14ac:dyDescent="0.3">
      <c r="A45" s="68">
        <v>13</v>
      </c>
      <c r="B45" s="64">
        <v>4.0999999999999996</v>
      </c>
      <c r="C45" s="54">
        <v>2.0950000000000002</v>
      </c>
      <c r="D45" s="64">
        <v>7.2</v>
      </c>
      <c r="E45" s="75">
        <v>8.7899999999999991</v>
      </c>
      <c r="G45">
        <v>68.459999999999994</v>
      </c>
    </row>
    <row r="46" spans="1:7" x14ac:dyDescent="0.3">
      <c r="A46" s="68">
        <v>14</v>
      </c>
      <c r="B46" s="64">
        <v>4.0999999999999996</v>
      </c>
      <c r="C46" s="54">
        <v>2.0960000000000001</v>
      </c>
      <c r="D46" s="64">
        <v>7.2</v>
      </c>
      <c r="E46" s="75">
        <v>14.39</v>
      </c>
    </row>
    <row r="47" spans="1:7" x14ac:dyDescent="0.3">
      <c r="A47" s="68">
        <v>15</v>
      </c>
      <c r="B47" s="64">
        <v>4.0999999999999996</v>
      </c>
      <c r="C47" s="54">
        <v>2.1</v>
      </c>
      <c r="D47" s="64">
        <v>7.2</v>
      </c>
      <c r="E47" s="75">
        <v>8.19</v>
      </c>
    </row>
    <row r="48" spans="1:7" x14ac:dyDescent="0.3">
      <c r="A48" s="68">
        <v>16</v>
      </c>
      <c r="B48" s="64">
        <v>4.0999999999999996</v>
      </c>
      <c r="C48" s="54">
        <v>2.101</v>
      </c>
      <c r="D48" s="64">
        <v>7.2</v>
      </c>
      <c r="E48" s="75">
        <v>12.22</v>
      </c>
    </row>
    <row r="49" spans="1:9" x14ac:dyDescent="0.3">
      <c r="A49" s="68">
        <v>17</v>
      </c>
      <c r="B49" s="64">
        <v>4.0999999999999996</v>
      </c>
      <c r="C49" s="54">
        <v>2.1040000000000001</v>
      </c>
      <c r="D49" s="64">
        <v>7.2</v>
      </c>
      <c r="E49" s="75">
        <v>8.4499999999999993</v>
      </c>
      <c r="G49">
        <v>79.790000000000006</v>
      </c>
    </row>
    <row r="50" spans="1:9" x14ac:dyDescent="0.3">
      <c r="A50" s="68">
        <v>18</v>
      </c>
      <c r="B50" s="64">
        <v>4.0999999999999996</v>
      </c>
      <c r="C50" s="54">
        <v>2.105</v>
      </c>
      <c r="D50" s="64">
        <v>7.2</v>
      </c>
      <c r="E50" s="75">
        <v>14.25</v>
      </c>
      <c r="G50">
        <v>170.56</v>
      </c>
    </row>
    <row r="51" spans="1:9" x14ac:dyDescent="0.3">
      <c r="A51" s="68">
        <v>19</v>
      </c>
      <c r="B51" s="64">
        <v>4.0999999999999996</v>
      </c>
      <c r="C51" s="54">
        <v>2.1070000000000002</v>
      </c>
      <c r="D51" s="64">
        <v>7.2</v>
      </c>
      <c r="E51" s="83">
        <v>8.14</v>
      </c>
    </row>
    <row r="52" spans="1:9" x14ac:dyDescent="0.3">
      <c r="A52" s="79">
        <v>20</v>
      </c>
      <c r="B52" s="80">
        <v>4.0999999999999996</v>
      </c>
      <c r="C52" s="81">
        <v>2.1080000000000001</v>
      </c>
      <c r="D52" s="80">
        <v>7.2</v>
      </c>
      <c r="E52" s="86">
        <v>16.28</v>
      </c>
    </row>
    <row r="53" spans="1:9" hidden="1" x14ac:dyDescent="0.3">
      <c r="A53" s="74">
        <v>21</v>
      </c>
      <c r="B53" s="64">
        <v>1</v>
      </c>
      <c r="C53" s="54">
        <v>2.0169999999999999</v>
      </c>
      <c r="D53" s="64">
        <v>8.3000000000000007</v>
      </c>
      <c r="E53" s="75">
        <v>3.22</v>
      </c>
    </row>
    <row r="54" spans="1:9" hidden="1" x14ac:dyDescent="0.3">
      <c r="A54" s="74">
        <v>22</v>
      </c>
      <c r="B54" s="64">
        <v>1</v>
      </c>
      <c r="C54" s="54">
        <v>2.1619999999999999</v>
      </c>
      <c r="D54" s="64">
        <v>8.3000000000000007</v>
      </c>
      <c r="E54" s="75">
        <v>5.25</v>
      </c>
    </row>
    <row r="55" spans="1:9" hidden="1" x14ac:dyDescent="0.3">
      <c r="A55" s="74">
        <v>23</v>
      </c>
      <c r="B55" s="64">
        <v>4.0999999999999996</v>
      </c>
      <c r="C55" s="54">
        <v>2.097</v>
      </c>
      <c r="D55" s="64">
        <v>8.3000000000000007</v>
      </c>
      <c r="E55" s="75">
        <v>4.8499999999999996</v>
      </c>
    </row>
    <row r="56" spans="1:9" hidden="1" x14ac:dyDescent="0.3">
      <c r="A56" s="74">
        <v>24</v>
      </c>
      <c r="B56" s="64">
        <v>4.0999999999999996</v>
      </c>
      <c r="C56" s="54">
        <v>2.0979999999999999</v>
      </c>
      <c r="D56" s="64">
        <v>8.3000000000000007</v>
      </c>
      <c r="E56" s="75">
        <v>4.76</v>
      </c>
    </row>
    <row r="57" spans="1:9" hidden="1" x14ac:dyDescent="0.3">
      <c r="A57" s="74">
        <v>25</v>
      </c>
      <c r="B57" s="64">
        <v>4.0999999999999996</v>
      </c>
      <c r="C57" s="54">
        <v>2.1019999999999999</v>
      </c>
      <c r="D57" s="64">
        <v>8.3000000000000007</v>
      </c>
      <c r="E57" s="75">
        <v>9.24</v>
      </c>
    </row>
    <row r="58" spans="1:9" hidden="1" x14ac:dyDescent="0.3">
      <c r="A58" s="74">
        <v>34</v>
      </c>
      <c r="B58" s="64">
        <v>1</v>
      </c>
      <c r="C58" s="54">
        <v>2.0009999999999999</v>
      </c>
      <c r="D58" s="64">
        <v>9.1999999999999993</v>
      </c>
      <c r="E58" s="75">
        <v>73.55</v>
      </c>
      <c r="G58">
        <v>10.24</v>
      </c>
    </row>
    <row r="59" spans="1:9" hidden="1" x14ac:dyDescent="0.3">
      <c r="A59" s="74">
        <v>33</v>
      </c>
      <c r="B59" s="64">
        <v>1</v>
      </c>
      <c r="C59" s="54">
        <v>2.0019999999999998</v>
      </c>
      <c r="D59" s="64">
        <v>9.1999999999999993</v>
      </c>
      <c r="E59" s="75">
        <v>72.239999999999995</v>
      </c>
    </row>
    <row r="60" spans="1:9" hidden="1" x14ac:dyDescent="0.3">
      <c r="A60" s="74">
        <v>27</v>
      </c>
      <c r="B60" s="64">
        <v>1</v>
      </c>
      <c r="C60" s="54">
        <v>2.0030000000000001</v>
      </c>
      <c r="D60" s="64">
        <v>9.1999999999999993</v>
      </c>
      <c r="E60" s="75">
        <v>68.260000000000005</v>
      </c>
    </row>
    <row r="61" spans="1:9" hidden="1" x14ac:dyDescent="0.3">
      <c r="A61" s="74">
        <v>36</v>
      </c>
      <c r="B61" s="64">
        <v>1</v>
      </c>
      <c r="C61" s="54">
        <v>2.004</v>
      </c>
      <c r="D61" s="64">
        <v>9.1999999999999993</v>
      </c>
      <c r="E61" s="75">
        <v>158.71</v>
      </c>
    </row>
    <row r="62" spans="1:9" hidden="1" x14ac:dyDescent="0.3">
      <c r="A62" s="74">
        <v>30</v>
      </c>
      <c r="B62" s="64">
        <v>1</v>
      </c>
      <c r="C62" s="54">
        <v>2.0070000000000001</v>
      </c>
      <c r="D62" s="64">
        <v>9.1999999999999993</v>
      </c>
      <c r="E62" s="75">
        <v>68.3</v>
      </c>
      <c r="G62" t="s">
        <v>112</v>
      </c>
      <c r="I62">
        <v>23.36</v>
      </c>
    </row>
    <row r="63" spans="1:9" hidden="1" x14ac:dyDescent="0.3">
      <c r="A63" s="74">
        <v>32</v>
      </c>
      <c r="B63" s="64">
        <v>1</v>
      </c>
      <c r="C63" s="54">
        <v>2.008</v>
      </c>
      <c r="D63" s="64">
        <v>9.1999999999999993</v>
      </c>
      <c r="E63" s="75">
        <v>68.459999999999994</v>
      </c>
      <c r="G63" t="e">
        <f t="shared" ref="G63:G68" si="1">--MID($G$62,IF(ROW(A1)=1,1,FIND("; ",$G$62,FIND("; ",$G$62,1)*(ROW(A1)-1))+2),FIND("; ",$G$62&amp;"; ",IF(ROW(A1)=1,1,FIND("; ",$G$62,FIND("; ",$G$62,1)*(ROW(A1)-1))+2))-IF(ROW(A1)=1,1,FIND("; ",$G$62,FIND("; ",$G$62,1)*(ROW(A1)-1))+2))</f>
        <v>#VALUE!</v>
      </c>
    </row>
    <row r="64" spans="1:9" hidden="1" x14ac:dyDescent="0.3">
      <c r="A64" s="74">
        <v>31</v>
      </c>
      <c r="B64" s="64">
        <v>1</v>
      </c>
      <c r="C64" s="54">
        <v>2.0089999999999999</v>
      </c>
      <c r="D64" s="64">
        <v>9.1999999999999993</v>
      </c>
      <c r="E64" s="75">
        <v>68.459999999999994</v>
      </c>
      <c r="G64" t="e">
        <f t="shared" si="1"/>
        <v>#VALUE!</v>
      </c>
    </row>
    <row r="65" spans="1:9" hidden="1" x14ac:dyDescent="0.3">
      <c r="A65" s="74">
        <v>26</v>
      </c>
      <c r="B65" s="64">
        <v>1</v>
      </c>
      <c r="C65" s="54">
        <v>2.0099999999999998</v>
      </c>
      <c r="D65" s="64">
        <v>9.1999999999999993</v>
      </c>
      <c r="E65" s="75">
        <v>67.64</v>
      </c>
      <c r="G65" t="e">
        <f t="shared" si="1"/>
        <v>#VALUE!</v>
      </c>
      <c r="I65">
        <v>21.09</v>
      </c>
    </row>
    <row r="66" spans="1:9" hidden="1" x14ac:dyDescent="0.3">
      <c r="A66" s="74">
        <v>28</v>
      </c>
      <c r="B66" s="64">
        <v>1</v>
      </c>
      <c r="C66" s="54">
        <v>2.0110000000000001</v>
      </c>
      <c r="D66" s="64">
        <v>9.1999999999999993</v>
      </c>
      <c r="E66" s="75">
        <v>68.459999999999994</v>
      </c>
      <c r="G66" t="e">
        <f t="shared" si="1"/>
        <v>#VALUE!</v>
      </c>
    </row>
    <row r="67" spans="1:9" hidden="1" x14ac:dyDescent="0.3">
      <c r="A67" s="74">
        <v>35</v>
      </c>
      <c r="B67" s="64">
        <v>1</v>
      </c>
      <c r="C67" s="54">
        <v>2.012</v>
      </c>
      <c r="D67" s="64">
        <v>9.1999999999999993</v>
      </c>
      <c r="E67" s="75">
        <v>149.25</v>
      </c>
      <c r="G67" t="e">
        <f t="shared" si="1"/>
        <v>#VALUE!</v>
      </c>
    </row>
    <row r="68" spans="1:9" hidden="1" x14ac:dyDescent="0.3">
      <c r="A68" s="74">
        <v>29</v>
      </c>
      <c r="B68" s="64">
        <v>1</v>
      </c>
      <c r="C68" s="54">
        <v>2.0129999999999999</v>
      </c>
      <c r="D68" s="64">
        <v>9.1999999999999993</v>
      </c>
      <c r="E68" s="75">
        <v>68.459999999999994</v>
      </c>
      <c r="G68" t="e">
        <f t="shared" si="1"/>
        <v>#VALUE!</v>
      </c>
      <c r="I68">
        <v>19.329999999999998</v>
      </c>
    </row>
    <row r="69" spans="1:9" hidden="1" x14ac:dyDescent="0.3">
      <c r="A69" s="74">
        <v>42</v>
      </c>
      <c r="B69" s="64">
        <v>4.0999999999999996</v>
      </c>
      <c r="C69" s="54">
        <v>2.0750000000000002</v>
      </c>
      <c r="D69" s="64">
        <v>9.1999999999999993</v>
      </c>
      <c r="E69" s="75">
        <v>79.790000000000006</v>
      </c>
      <c r="G69" t="e">
        <f t="shared" ref="G69:G79" si="2">--MID($G$62,IF(ROW(A7)=1,1,FIND("; ",$G$62,FIND("; ",$G$62,1)*(ROW(A7)-1))+2),FIND("; ",$G$62&amp;"; ",IF(ROW(A7)=1,1,FIND("; ",$G$62,FIND("; ",$G$62,1)*(ROW(A7)-1))+2))-IF(ROW(A7)=1,1,FIND("; ",$G$62,FIND("; ",$G$62,1)*(ROW(A7)-1))+2))</f>
        <v>#VALUE!</v>
      </c>
    </row>
    <row r="70" spans="1:9" hidden="1" x14ac:dyDescent="0.3">
      <c r="A70" s="74">
        <v>43</v>
      </c>
      <c r="B70" s="64">
        <v>4.0999999999999996</v>
      </c>
      <c r="C70" s="54">
        <v>2.08</v>
      </c>
      <c r="D70" s="64">
        <v>9.1999999999999993</v>
      </c>
      <c r="E70" s="75">
        <v>170.56</v>
      </c>
      <c r="G70" t="e">
        <f t="shared" si="2"/>
        <v>#VALUE!</v>
      </c>
    </row>
    <row r="71" spans="1:9" hidden="1" x14ac:dyDescent="0.3">
      <c r="A71" s="74">
        <v>37</v>
      </c>
      <c r="B71" s="64">
        <v>4.0999999999999996</v>
      </c>
      <c r="C71" s="54">
        <v>2.0880000000000001</v>
      </c>
      <c r="D71" s="64">
        <v>9.1999999999999993</v>
      </c>
      <c r="E71" s="75">
        <v>10.24</v>
      </c>
      <c r="G71" t="e">
        <f t="shared" si="2"/>
        <v>#VALUE!</v>
      </c>
      <c r="I71">
        <v>19.36</v>
      </c>
    </row>
    <row r="72" spans="1:9" hidden="1" x14ac:dyDescent="0.3">
      <c r="A72" s="74">
        <v>41</v>
      </c>
      <c r="B72" s="64">
        <v>4.0999999999999996</v>
      </c>
      <c r="C72" s="54">
        <v>2.0939999999999999</v>
      </c>
      <c r="D72" s="64">
        <v>9.1999999999999993</v>
      </c>
      <c r="E72" s="75">
        <v>23.36</v>
      </c>
      <c r="G72" t="e">
        <f t="shared" si="2"/>
        <v>#VALUE!</v>
      </c>
    </row>
    <row r="73" spans="1:9" hidden="1" x14ac:dyDescent="0.3">
      <c r="A73" s="89">
        <v>40</v>
      </c>
      <c r="B73" s="64">
        <v>4.0999999999999996</v>
      </c>
      <c r="C73" s="54">
        <v>2.0990000000000002</v>
      </c>
      <c r="D73" s="64">
        <v>9.1999999999999993</v>
      </c>
      <c r="E73" s="75">
        <v>21.09</v>
      </c>
      <c r="G73" t="e">
        <f t="shared" si="2"/>
        <v>#VALUE!</v>
      </c>
    </row>
    <row r="74" spans="1:9" hidden="1" x14ac:dyDescent="0.3">
      <c r="A74" s="74">
        <v>39</v>
      </c>
      <c r="B74" s="64">
        <v>4.0999999999999996</v>
      </c>
      <c r="C74" s="54">
        <v>2.1030000000000002</v>
      </c>
      <c r="D74" s="64">
        <v>9.1999999999999993</v>
      </c>
      <c r="E74" s="75">
        <v>19.329999999999998</v>
      </c>
      <c r="G74" t="e">
        <f t="shared" si="2"/>
        <v>#VALUE!</v>
      </c>
    </row>
    <row r="75" spans="1:9" hidden="1" x14ac:dyDescent="0.3">
      <c r="A75" s="74">
        <v>38</v>
      </c>
      <c r="B75" s="64">
        <v>4.0999999999999996</v>
      </c>
      <c r="C75" s="54">
        <v>2.1059999999999999</v>
      </c>
      <c r="D75" s="64">
        <v>9.1999999999999993</v>
      </c>
      <c r="E75" s="75">
        <v>19.36</v>
      </c>
      <c r="G75" t="e">
        <f t="shared" si="2"/>
        <v>#VALUE!</v>
      </c>
    </row>
    <row r="76" spans="1:9" hidden="1" x14ac:dyDescent="0.3">
      <c r="A76" s="74">
        <v>44</v>
      </c>
      <c r="B76" s="64">
        <v>4.0999999999999996</v>
      </c>
      <c r="C76" s="54">
        <v>2.081</v>
      </c>
      <c r="D76" s="64">
        <v>11</v>
      </c>
      <c r="E76" s="75">
        <v>298.27999999999997</v>
      </c>
      <c r="G76" t="e">
        <f t="shared" si="2"/>
        <v>#VALUE!</v>
      </c>
      <c r="I76">
        <v>298.27999999999997</v>
      </c>
    </row>
    <row r="77" spans="1:9" hidden="1" x14ac:dyDescent="0.3">
      <c r="A77" s="74">
        <v>45</v>
      </c>
      <c r="B77" s="80">
        <v>4.0999999999999996</v>
      </c>
      <c r="C77" s="81">
        <v>2.085</v>
      </c>
      <c r="D77" s="80">
        <v>11.1</v>
      </c>
      <c r="E77" s="82">
        <v>168.62</v>
      </c>
      <c r="G77" t="e">
        <f t="shared" si="2"/>
        <v>#VALUE!</v>
      </c>
      <c r="H77">
        <v>168.62</v>
      </c>
    </row>
    <row r="78" spans="1:9" x14ac:dyDescent="0.3">
      <c r="A78" s="73"/>
      <c r="B78" s="34"/>
      <c r="C78" s="54"/>
      <c r="D78" s="34"/>
      <c r="E78" s="66"/>
      <c r="G78" t="e">
        <f t="shared" si="2"/>
        <v>#VALUE!</v>
      </c>
    </row>
    <row r="79" spans="1:9" x14ac:dyDescent="0.3">
      <c r="G79" t="e">
        <f t="shared" si="2"/>
        <v>#VALUE!</v>
      </c>
    </row>
    <row r="80" spans="1:9" x14ac:dyDescent="0.3">
      <c r="A80" s="58" t="s">
        <v>48</v>
      </c>
      <c r="B80" s="58"/>
      <c r="C80" s="62"/>
      <c r="D80" s="58"/>
      <c r="E80" s="60"/>
      <c r="G80" t="e">
        <f>--MID($G$62,IF(ROW(A18)=1,1,FIND("; ",$G$62,FIND("; ",$G$62,1)*(ROW(A18)-1))+2),FIND("; ",$G$62&amp;"; ",IF(ROW(A18)=1,1,FIND("; ",$G$62,FIND("; ",$G$62,1)*(ROW(A18)-1))+2))-IF(ROW(A18)=1,1,FIND("; ",$G$62,FIND("; ",$G$62,1)*(ROW(A18)-1))+2))</f>
        <v>#VALUE!</v>
      </c>
    </row>
    <row r="81" spans="1:9" x14ac:dyDescent="0.3">
      <c r="A81" s="76" t="s">
        <v>0</v>
      </c>
      <c r="B81" s="65" t="s">
        <v>97</v>
      </c>
      <c r="C81" s="77" t="s">
        <v>98</v>
      </c>
      <c r="D81" s="65" t="s">
        <v>93</v>
      </c>
      <c r="E81" s="78" t="s">
        <v>51</v>
      </c>
    </row>
    <row r="82" spans="1:9" x14ac:dyDescent="0.3">
      <c r="A82" s="68">
        <v>1</v>
      </c>
      <c r="B82" s="64">
        <v>1</v>
      </c>
      <c r="C82" s="8">
        <v>3.0059999999999998</v>
      </c>
      <c r="D82" s="64">
        <v>6.1</v>
      </c>
      <c r="E82" s="75">
        <v>13.62</v>
      </c>
      <c r="I82">
        <v>129.68</v>
      </c>
    </row>
    <row r="83" spans="1:9" x14ac:dyDescent="0.3">
      <c r="A83" s="68">
        <v>2</v>
      </c>
      <c r="B83" s="64">
        <v>4.0999999999999996</v>
      </c>
      <c r="C83" s="8">
        <v>3.0939999999999999</v>
      </c>
      <c r="D83" s="64">
        <v>6.1</v>
      </c>
      <c r="E83" s="75">
        <v>15.07</v>
      </c>
      <c r="I83">
        <v>73.05</v>
      </c>
    </row>
    <row r="84" spans="1:9" x14ac:dyDescent="0.3">
      <c r="A84" s="68">
        <v>3</v>
      </c>
      <c r="B84" s="64">
        <v>1</v>
      </c>
      <c r="C84" s="8">
        <v>3.0150000000000001</v>
      </c>
      <c r="D84" s="64">
        <v>7.2</v>
      </c>
      <c r="E84" s="75">
        <v>17.21</v>
      </c>
      <c r="I84">
        <v>71.709999999999994</v>
      </c>
    </row>
    <row r="85" spans="1:9" x14ac:dyDescent="0.3">
      <c r="A85" s="68">
        <v>4</v>
      </c>
      <c r="B85" s="64">
        <v>1</v>
      </c>
      <c r="C85" s="8">
        <v>3.016</v>
      </c>
      <c r="D85" s="64">
        <v>7.2</v>
      </c>
      <c r="E85" s="75">
        <v>21.12</v>
      </c>
      <c r="I85">
        <v>67.59</v>
      </c>
    </row>
    <row r="86" spans="1:9" x14ac:dyDescent="0.3">
      <c r="A86" s="68">
        <v>5</v>
      </c>
      <c r="B86" s="64">
        <v>1</v>
      </c>
      <c r="C86" s="8">
        <v>3.0169999999999999</v>
      </c>
      <c r="D86" s="64">
        <v>7.2</v>
      </c>
      <c r="E86" s="75">
        <v>5.0599999999999996</v>
      </c>
      <c r="I86">
        <v>239.62</v>
      </c>
    </row>
    <row r="87" spans="1:9" hidden="1" x14ac:dyDescent="0.3">
      <c r="A87" s="68">
        <v>9</v>
      </c>
      <c r="B87" s="64">
        <v>1</v>
      </c>
      <c r="C87" s="64">
        <v>3.0009999999999999</v>
      </c>
      <c r="D87" s="64">
        <v>9.1999999999999993</v>
      </c>
      <c r="E87" s="75">
        <v>129.68</v>
      </c>
      <c r="I87">
        <v>13.62</v>
      </c>
    </row>
    <row r="88" spans="1:9" hidden="1" x14ac:dyDescent="0.3">
      <c r="A88" s="68">
        <v>10</v>
      </c>
      <c r="B88" s="64">
        <v>1</v>
      </c>
      <c r="C88" s="64">
        <v>3.0019999999999998</v>
      </c>
      <c r="D88" s="64">
        <v>9.1999999999999993</v>
      </c>
      <c r="E88" s="75">
        <v>73.05</v>
      </c>
      <c r="I88">
        <v>34</v>
      </c>
    </row>
    <row r="89" spans="1:9" hidden="1" x14ac:dyDescent="0.3">
      <c r="A89" s="68">
        <v>11</v>
      </c>
      <c r="B89" s="64">
        <v>1</v>
      </c>
      <c r="C89" s="54">
        <v>3.0030000000000001</v>
      </c>
      <c r="D89" s="64">
        <v>9.1999999999999993</v>
      </c>
      <c r="E89" s="75">
        <v>71.709999999999994</v>
      </c>
      <c r="I89">
        <v>67.84</v>
      </c>
    </row>
    <row r="90" spans="1:9" hidden="1" x14ac:dyDescent="0.3">
      <c r="A90" s="68">
        <v>12</v>
      </c>
      <c r="B90" s="64">
        <v>1</v>
      </c>
      <c r="C90" s="54">
        <v>3.004</v>
      </c>
      <c r="D90" s="64">
        <v>9.1999999999999993</v>
      </c>
      <c r="E90" s="75">
        <v>67.59</v>
      </c>
      <c r="I90">
        <v>68</v>
      </c>
    </row>
    <row r="91" spans="1:9" hidden="1" x14ac:dyDescent="0.3">
      <c r="A91" s="68">
        <v>13</v>
      </c>
      <c r="B91" s="64">
        <v>1</v>
      </c>
      <c r="C91" s="54">
        <v>3.0049999999999999</v>
      </c>
      <c r="D91" s="64">
        <v>9.1999999999999993</v>
      </c>
      <c r="E91" s="75">
        <v>239.62</v>
      </c>
      <c r="I91">
        <v>68</v>
      </c>
    </row>
    <row r="92" spans="1:9" hidden="1" x14ac:dyDescent="0.3">
      <c r="A92" s="68">
        <v>14</v>
      </c>
      <c r="B92" s="64">
        <v>1</v>
      </c>
      <c r="C92" s="54">
        <v>3.008</v>
      </c>
      <c r="D92" s="64">
        <v>9.1999999999999993</v>
      </c>
      <c r="E92" s="75">
        <v>67.84</v>
      </c>
      <c r="I92">
        <v>67.14</v>
      </c>
    </row>
    <row r="93" spans="1:9" hidden="1" x14ac:dyDescent="0.3">
      <c r="A93" s="68">
        <v>15</v>
      </c>
      <c r="B93" s="64">
        <v>1</v>
      </c>
      <c r="C93" s="54">
        <v>3.0089999999999999</v>
      </c>
      <c r="D93" s="64">
        <v>9.1999999999999993</v>
      </c>
      <c r="E93" s="75">
        <v>68</v>
      </c>
      <c r="I93">
        <v>68</v>
      </c>
    </row>
    <row r="94" spans="1:9" hidden="1" x14ac:dyDescent="0.3">
      <c r="A94" s="68">
        <v>16</v>
      </c>
      <c r="B94" s="64">
        <v>1</v>
      </c>
      <c r="C94" s="54">
        <v>3.01</v>
      </c>
      <c r="D94" s="64">
        <v>9.1999999999999993</v>
      </c>
      <c r="E94" s="75">
        <v>68</v>
      </c>
      <c r="I94">
        <v>68</v>
      </c>
    </row>
    <row r="95" spans="1:9" hidden="1" x14ac:dyDescent="0.3">
      <c r="A95" s="68">
        <v>17</v>
      </c>
      <c r="B95" s="64">
        <v>1</v>
      </c>
      <c r="C95" s="54">
        <v>3.0110000000000001</v>
      </c>
      <c r="D95" s="64">
        <v>9.1999999999999993</v>
      </c>
      <c r="E95" s="75">
        <v>67.14</v>
      </c>
      <c r="I95">
        <v>148.61000000000001</v>
      </c>
    </row>
    <row r="96" spans="1:9" hidden="1" x14ac:dyDescent="0.3">
      <c r="A96" s="68">
        <v>18</v>
      </c>
      <c r="B96" s="64">
        <v>1</v>
      </c>
      <c r="C96" s="54">
        <v>3.012</v>
      </c>
      <c r="D96" s="64">
        <v>9.1999999999999993</v>
      </c>
      <c r="E96" s="75">
        <v>68</v>
      </c>
      <c r="I96">
        <v>17.21</v>
      </c>
    </row>
    <row r="97" spans="1:9" hidden="1" x14ac:dyDescent="0.3">
      <c r="A97" s="68">
        <v>19</v>
      </c>
      <c r="B97" s="64">
        <v>1</v>
      </c>
      <c r="C97" s="54">
        <v>3.0129999999999999</v>
      </c>
      <c r="D97" s="64">
        <v>9.1999999999999993</v>
      </c>
      <c r="E97" s="75">
        <v>68</v>
      </c>
      <c r="I97">
        <v>21.12</v>
      </c>
    </row>
    <row r="98" spans="1:9" hidden="1" x14ac:dyDescent="0.3">
      <c r="A98" s="68">
        <v>6</v>
      </c>
      <c r="B98" s="64">
        <v>1</v>
      </c>
      <c r="C98" s="8">
        <v>3.0179999999999998</v>
      </c>
      <c r="D98" s="64">
        <v>8.3000000000000007</v>
      </c>
      <c r="E98" s="75">
        <v>3.2</v>
      </c>
      <c r="I98">
        <v>5.0599999999999996</v>
      </c>
    </row>
    <row r="99" spans="1:9" hidden="1" x14ac:dyDescent="0.3">
      <c r="A99" s="68">
        <v>20</v>
      </c>
      <c r="B99" s="64">
        <v>1</v>
      </c>
      <c r="C99" s="54">
        <v>3.0139999999999998</v>
      </c>
      <c r="D99" s="64">
        <v>9.1999999999999993</v>
      </c>
      <c r="E99" s="75">
        <v>148.61000000000001</v>
      </c>
      <c r="I99">
        <v>3.2</v>
      </c>
    </row>
    <row r="100" spans="1:9" hidden="1" x14ac:dyDescent="0.3">
      <c r="A100" s="68">
        <v>21</v>
      </c>
      <c r="B100" s="64">
        <v>4.0999999999999996</v>
      </c>
      <c r="C100" s="54">
        <v>3.0190000000000001</v>
      </c>
      <c r="D100" s="64">
        <v>9.1999999999999993</v>
      </c>
      <c r="E100" s="75">
        <v>244.28</v>
      </c>
      <c r="I100">
        <v>244.28</v>
      </c>
    </row>
    <row r="101" spans="1:9" hidden="1" x14ac:dyDescent="0.3">
      <c r="A101" s="68">
        <v>8</v>
      </c>
      <c r="B101" s="64">
        <v>4.0999999999999996</v>
      </c>
      <c r="C101" s="64">
        <v>3.0209999999999999</v>
      </c>
      <c r="D101" s="64">
        <v>8.3000000000000007</v>
      </c>
      <c r="E101" s="75">
        <v>15.62</v>
      </c>
      <c r="I101">
        <v>137.72999999999999</v>
      </c>
    </row>
    <row r="102" spans="1:9" hidden="1" x14ac:dyDescent="0.3">
      <c r="A102" s="68">
        <v>22</v>
      </c>
      <c r="B102" s="64">
        <v>4.0999999999999996</v>
      </c>
      <c r="C102" s="54">
        <v>3.02</v>
      </c>
      <c r="D102" s="64">
        <v>9.1999999999999993</v>
      </c>
      <c r="E102" s="75">
        <v>137.72999999999999</v>
      </c>
      <c r="I102">
        <v>15.62</v>
      </c>
    </row>
    <row r="103" spans="1:9" hidden="1" x14ac:dyDescent="0.3">
      <c r="A103" s="68">
        <v>7</v>
      </c>
      <c r="B103" s="64">
        <v>1</v>
      </c>
      <c r="C103" s="64">
        <v>3.0920000000000001</v>
      </c>
      <c r="D103" s="64">
        <v>8.3000000000000007</v>
      </c>
      <c r="E103" s="75">
        <v>5.24</v>
      </c>
    </row>
    <row r="104" spans="1:9" hidden="1" x14ac:dyDescent="0.3">
      <c r="A104" s="68">
        <v>23</v>
      </c>
      <c r="B104" s="64">
        <v>4.0999999999999996</v>
      </c>
      <c r="C104" s="54">
        <v>3.085</v>
      </c>
      <c r="D104" s="64">
        <v>9.1999999999999993</v>
      </c>
      <c r="E104" s="75">
        <v>13.16</v>
      </c>
    </row>
    <row r="105" spans="1:9" hidden="1" x14ac:dyDescent="0.3">
      <c r="A105" s="79">
        <v>24</v>
      </c>
      <c r="B105" s="80">
        <v>4.0999999999999996</v>
      </c>
      <c r="C105" s="81" t="s">
        <v>94</v>
      </c>
      <c r="D105" s="80">
        <v>9.1999999999999993</v>
      </c>
      <c r="E105" s="82">
        <v>140.80000000000001</v>
      </c>
    </row>
    <row r="106" spans="1:9" x14ac:dyDescent="0.3">
      <c r="A106" s="57"/>
      <c r="B106" s="34"/>
      <c r="C106" s="54"/>
      <c r="D106" s="34"/>
      <c r="E106" s="66"/>
    </row>
    <row r="111" spans="1:9" x14ac:dyDescent="0.3">
      <c r="C111"/>
      <c r="E111"/>
    </row>
    <row r="112" spans="1:9" x14ac:dyDescent="0.3">
      <c r="C112"/>
      <c r="E112"/>
    </row>
    <row r="113" spans="1:9" x14ac:dyDescent="0.3">
      <c r="B113" t="s">
        <v>117</v>
      </c>
      <c r="C113"/>
      <c r="E113" t="s">
        <v>118</v>
      </c>
      <c r="H113" t="s">
        <v>119</v>
      </c>
    </row>
    <row r="114" spans="1:9" x14ac:dyDescent="0.3">
      <c r="A114">
        <v>6</v>
      </c>
      <c r="B114">
        <v>13.62</v>
      </c>
      <c r="C114">
        <v>758.84</v>
      </c>
      <c r="E114"/>
    </row>
    <row r="115" spans="1:9" x14ac:dyDescent="0.3">
      <c r="A115">
        <v>6.1</v>
      </c>
      <c r="C115"/>
      <c r="E115">
        <v>13.62</v>
      </c>
      <c r="F115">
        <v>76.59</v>
      </c>
      <c r="H115">
        <v>13.62</v>
      </c>
      <c r="I115">
        <v>15.08</v>
      </c>
    </row>
    <row r="116" spans="1:9" x14ac:dyDescent="0.3">
      <c r="A116">
        <v>7</v>
      </c>
      <c r="B116">
        <v>43.85</v>
      </c>
      <c r="C116">
        <v>14.52</v>
      </c>
      <c r="E116"/>
    </row>
    <row r="117" spans="1:9" x14ac:dyDescent="0.3">
      <c r="A117">
        <v>7.2</v>
      </c>
      <c r="C117"/>
      <c r="E117">
        <v>43.43</v>
      </c>
      <c r="F117">
        <v>119.37</v>
      </c>
      <c r="H117">
        <v>43.43</v>
      </c>
    </row>
    <row r="118" spans="1:9" x14ac:dyDescent="0.3">
      <c r="A118">
        <v>8.1</v>
      </c>
      <c r="C118">
        <v>23.92</v>
      </c>
      <c r="E118"/>
    </row>
    <row r="119" spans="1:9" x14ac:dyDescent="0.3">
      <c r="A119">
        <v>8.1999999999999993</v>
      </c>
      <c r="B119">
        <v>8.5500000000000007</v>
      </c>
      <c r="C119"/>
      <c r="E119"/>
    </row>
    <row r="120" spans="1:9" x14ac:dyDescent="0.3">
      <c r="A120">
        <v>9</v>
      </c>
      <c r="B120">
        <v>935.07</v>
      </c>
      <c r="C120">
        <v>453.24</v>
      </c>
      <c r="E120"/>
    </row>
    <row r="121" spans="1:9" x14ac:dyDescent="0.3">
      <c r="A121">
        <v>9.1999999999999993</v>
      </c>
      <c r="C121"/>
      <c r="E121">
        <v>929.87</v>
      </c>
      <c r="F121">
        <v>377.24</v>
      </c>
      <c r="H121">
        <v>1135.8499999999999</v>
      </c>
      <c r="I121">
        <v>534.9</v>
      </c>
    </row>
    <row r="122" spans="1:9" x14ac:dyDescent="0.3">
      <c r="C122"/>
      <c r="E122"/>
      <c r="F122">
        <v>2263</v>
      </c>
      <c r="G122">
        <v>1529</v>
      </c>
      <c r="H122">
        <v>1745</v>
      </c>
    </row>
    <row r="131" spans="1:4" x14ac:dyDescent="0.3">
      <c r="C131" s="63">
        <v>1</v>
      </c>
      <c r="D131">
        <v>4</v>
      </c>
    </row>
    <row r="132" spans="1:4" x14ac:dyDescent="0.3">
      <c r="A132" t="s">
        <v>387</v>
      </c>
      <c r="B132" s="186" t="s">
        <v>388</v>
      </c>
      <c r="C132" s="63">
        <v>0</v>
      </c>
      <c r="D132">
        <v>0</v>
      </c>
    </row>
    <row r="133" spans="1:4" x14ac:dyDescent="0.3">
      <c r="B133" s="186" t="s">
        <v>389</v>
      </c>
      <c r="C133" s="63">
        <v>11.69</v>
      </c>
      <c r="D133">
        <v>7.73</v>
      </c>
    </row>
    <row r="134" spans="1:4" x14ac:dyDescent="0.3">
      <c r="B134" s="186" t="s">
        <v>390</v>
      </c>
      <c r="C134" s="63">
        <v>0</v>
      </c>
      <c r="D134">
        <v>0</v>
      </c>
    </row>
    <row r="135" spans="1:4" x14ac:dyDescent="0.3">
      <c r="B135" s="186" t="s">
        <v>391</v>
      </c>
      <c r="C135" s="63">
        <v>13.62</v>
      </c>
      <c r="D135">
        <v>758.84</v>
      </c>
    </row>
    <row r="136" spans="1:4" x14ac:dyDescent="0.3">
      <c r="B136" s="186" t="s">
        <v>392</v>
      </c>
      <c r="C136" s="63">
        <v>0</v>
      </c>
      <c r="D136">
        <v>0</v>
      </c>
    </row>
    <row r="137" spans="1:4" x14ac:dyDescent="0.3">
      <c r="B137" s="186" t="s">
        <v>393</v>
      </c>
      <c r="C137" s="63">
        <v>43.85</v>
      </c>
      <c r="D137">
        <v>14.52</v>
      </c>
    </row>
    <row r="138" spans="1:4" x14ac:dyDescent="0.3">
      <c r="B138" s="186" t="s">
        <v>370</v>
      </c>
      <c r="C138" s="63">
        <v>0</v>
      </c>
      <c r="D138">
        <v>46.62</v>
      </c>
    </row>
    <row r="139" spans="1:4" x14ac:dyDescent="0.3">
      <c r="B139" s="186" t="s">
        <v>101</v>
      </c>
      <c r="C139" s="63">
        <v>0</v>
      </c>
      <c r="D139">
        <v>0</v>
      </c>
    </row>
    <row r="140" spans="1:4" x14ac:dyDescent="0.3">
      <c r="B140" s="186" t="s">
        <v>381</v>
      </c>
      <c r="C140" s="63">
        <v>0</v>
      </c>
      <c r="D140">
        <v>23.9</v>
      </c>
    </row>
    <row r="141" spans="1:4" x14ac:dyDescent="0.3">
      <c r="B141" s="186" t="s">
        <v>382</v>
      </c>
      <c r="C141" s="63">
        <v>8.5500000000000007</v>
      </c>
      <c r="D141">
        <v>0</v>
      </c>
    </row>
    <row r="142" spans="1:4" x14ac:dyDescent="0.3">
      <c r="B142" s="186" t="s">
        <v>383</v>
      </c>
      <c r="C142" s="63">
        <v>935.07</v>
      </c>
      <c r="D142">
        <v>453.24</v>
      </c>
    </row>
    <row r="143" spans="1:4" x14ac:dyDescent="0.3">
      <c r="B143" s="186" t="s">
        <v>384</v>
      </c>
      <c r="C143" s="63">
        <v>0</v>
      </c>
      <c r="D143">
        <v>0</v>
      </c>
    </row>
    <row r="144" spans="1:4" x14ac:dyDescent="0.3">
      <c r="B144" s="186"/>
    </row>
    <row r="145" spans="2:4" x14ac:dyDescent="0.3">
      <c r="B145" s="186" t="s">
        <v>388</v>
      </c>
      <c r="C145" s="63">
        <v>0</v>
      </c>
      <c r="D145">
        <v>72.94</v>
      </c>
    </row>
    <row r="146" spans="2:4" x14ac:dyDescent="0.3">
      <c r="B146" s="186" t="s">
        <v>389</v>
      </c>
      <c r="C146" s="63">
        <v>0</v>
      </c>
      <c r="D146">
        <v>0</v>
      </c>
    </row>
    <row r="147" spans="2:4" x14ac:dyDescent="0.3">
      <c r="B147" s="186" t="s">
        <v>390</v>
      </c>
      <c r="C147" s="63">
        <v>8.2799999999999994</v>
      </c>
      <c r="D147">
        <v>8.09</v>
      </c>
    </row>
    <row r="148" spans="2:4" x14ac:dyDescent="0.3">
      <c r="B148" s="186" t="s">
        <v>391</v>
      </c>
      <c r="C148" s="63">
        <v>0</v>
      </c>
      <c r="D148">
        <v>0</v>
      </c>
    </row>
    <row r="149" spans="2:4" x14ac:dyDescent="0.3">
      <c r="B149" s="186" t="s">
        <v>392</v>
      </c>
      <c r="C149" s="63">
        <v>13.62</v>
      </c>
      <c r="D149">
        <v>76.59</v>
      </c>
    </row>
    <row r="150" spans="2:4" x14ac:dyDescent="0.3">
      <c r="B150" s="186" t="s">
        <v>393</v>
      </c>
      <c r="C150" s="63">
        <v>0</v>
      </c>
      <c r="D150">
        <v>0</v>
      </c>
    </row>
    <row r="151" spans="2:4" x14ac:dyDescent="0.3">
      <c r="B151" s="186" t="s">
        <v>370</v>
      </c>
      <c r="C151" s="63">
        <v>0</v>
      </c>
      <c r="D151">
        <v>0</v>
      </c>
    </row>
    <row r="152" spans="2:4" x14ac:dyDescent="0.3">
      <c r="B152" s="186" t="s">
        <v>101</v>
      </c>
      <c r="C152" s="63">
        <v>43.43</v>
      </c>
      <c r="D152">
        <v>119.37</v>
      </c>
    </row>
    <row r="153" spans="2:4" x14ac:dyDescent="0.3">
      <c r="B153" s="186" t="s">
        <v>381</v>
      </c>
      <c r="C153" s="63">
        <v>0</v>
      </c>
      <c r="D153">
        <v>0</v>
      </c>
    </row>
    <row r="154" spans="2:4" x14ac:dyDescent="0.3">
      <c r="B154" s="186" t="s">
        <v>382</v>
      </c>
      <c r="C154" s="63">
        <v>0</v>
      </c>
      <c r="D154">
        <v>0</v>
      </c>
    </row>
    <row r="155" spans="2:4" x14ac:dyDescent="0.3">
      <c r="B155" s="186" t="s">
        <v>383</v>
      </c>
      <c r="C155" s="63">
        <v>0</v>
      </c>
      <c r="D155">
        <v>0</v>
      </c>
    </row>
    <row r="156" spans="2:4" x14ac:dyDescent="0.3">
      <c r="B156" s="186" t="s">
        <v>384</v>
      </c>
      <c r="C156" s="63">
        <v>0</v>
      </c>
      <c r="D156">
        <v>0</v>
      </c>
    </row>
    <row r="157" spans="2:4" x14ac:dyDescent="0.3">
      <c r="B157" s="186"/>
    </row>
    <row r="158" spans="2:4" x14ac:dyDescent="0.3">
      <c r="B158" s="186" t="s">
        <v>388</v>
      </c>
      <c r="C158" s="63">
        <v>0</v>
      </c>
      <c r="D158">
        <v>0</v>
      </c>
    </row>
    <row r="159" spans="2:4" x14ac:dyDescent="0.3">
      <c r="B159" s="186" t="s">
        <v>389</v>
      </c>
      <c r="C159" s="63">
        <v>0</v>
      </c>
      <c r="D159">
        <v>0</v>
      </c>
    </row>
    <row r="160" spans="2:4" x14ac:dyDescent="0.3">
      <c r="B160" s="186" t="s">
        <v>390</v>
      </c>
      <c r="C160" s="63">
        <v>6.03</v>
      </c>
      <c r="D160">
        <v>5.95</v>
      </c>
    </row>
    <row r="161" spans="2:4" x14ac:dyDescent="0.3">
      <c r="B161" s="186" t="s">
        <v>391</v>
      </c>
      <c r="C161" s="63">
        <v>0</v>
      </c>
      <c r="D161">
        <v>0</v>
      </c>
    </row>
    <row r="162" spans="2:4" x14ac:dyDescent="0.3">
      <c r="B162" s="186" t="s">
        <v>392</v>
      </c>
      <c r="C162" s="63">
        <v>13.62</v>
      </c>
      <c r="D162">
        <v>15.08</v>
      </c>
    </row>
    <row r="163" spans="2:4" x14ac:dyDescent="0.3">
      <c r="B163" s="186" t="s">
        <v>393</v>
      </c>
      <c r="C163" s="63">
        <v>0</v>
      </c>
      <c r="D163">
        <v>0</v>
      </c>
    </row>
    <row r="164" spans="2:4" x14ac:dyDescent="0.3">
      <c r="B164" s="186" t="s">
        <v>370</v>
      </c>
      <c r="C164" s="63">
        <v>0</v>
      </c>
      <c r="D164">
        <v>0</v>
      </c>
    </row>
    <row r="165" spans="2:4" x14ac:dyDescent="0.3">
      <c r="B165" s="186" t="s">
        <v>101</v>
      </c>
      <c r="C165" s="63">
        <v>43.43</v>
      </c>
      <c r="D165">
        <v>0</v>
      </c>
    </row>
    <row r="166" spans="2:4" x14ac:dyDescent="0.3">
      <c r="B166" s="186" t="s">
        <v>381</v>
      </c>
      <c r="C166" s="63">
        <v>0</v>
      </c>
      <c r="D166">
        <v>0</v>
      </c>
    </row>
    <row r="167" spans="2:4" x14ac:dyDescent="0.3">
      <c r="B167" s="186" t="s">
        <v>382</v>
      </c>
      <c r="C167" s="63">
        <v>0</v>
      </c>
      <c r="D167">
        <v>0</v>
      </c>
    </row>
    <row r="168" spans="2:4" x14ac:dyDescent="0.3">
      <c r="B168" s="186" t="s">
        <v>383</v>
      </c>
      <c r="C168" s="63">
        <v>0</v>
      </c>
      <c r="D168">
        <v>0</v>
      </c>
    </row>
    <row r="169" spans="2:4" x14ac:dyDescent="0.3">
      <c r="B169" s="186" t="s">
        <v>384</v>
      </c>
      <c r="C169" s="63">
        <v>0</v>
      </c>
      <c r="D169">
        <v>0</v>
      </c>
    </row>
    <row r="170" spans="2:4" x14ac:dyDescent="0.3">
      <c r="B170" s="186"/>
    </row>
  </sheetData>
  <sortState ref="C58:C81">
    <sortCondition ref="C39"/>
  </sortState>
  <mergeCells count="1">
    <mergeCell ref="A1:E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F28"/>
  <sheetViews>
    <sheetView workbookViewId="0">
      <selection activeCell="F8" sqref="F8"/>
    </sheetView>
  </sheetViews>
  <sheetFormatPr defaultRowHeight="14.4" x14ac:dyDescent="0.3"/>
  <cols>
    <col min="1" max="1" width="7.5546875" customWidth="1"/>
    <col min="2" max="2" width="39.33203125" customWidth="1"/>
    <col min="3" max="3" width="14.6640625" customWidth="1"/>
    <col min="4" max="4" width="9.109375" customWidth="1"/>
    <col min="5" max="5" width="14.33203125" customWidth="1"/>
    <col min="6" max="6" width="8.88671875" customWidth="1"/>
  </cols>
  <sheetData>
    <row r="1" spans="1:6" x14ac:dyDescent="0.3">
      <c r="A1" s="1"/>
      <c r="B1" s="2" t="s">
        <v>436</v>
      </c>
      <c r="C1" s="15"/>
      <c r="D1" s="3"/>
      <c r="E1" s="4"/>
      <c r="F1" s="5"/>
    </row>
    <row r="2" spans="1:6" x14ac:dyDescent="0.3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</row>
    <row r="3" spans="1:6" ht="26.4" x14ac:dyDescent="0.3">
      <c r="A3" s="96">
        <v>1</v>
      </c>
      <c r="B3" s="97" t="s">
        <v>25</v>
      </c>
      <c r="C3" s="98" t="s">
        <v>116</v>
      </c>
      <c r="D3" s="96" t="s">
        <v>7</v>
      </c>
      <c r="E3" s="99">
        <v>1</v>
      </c>
      <c r="F3" s="50">
        <f>'1эт'!E5+'2эт'!E5+'3эт'!E4</f>
        <v>69.010000000000005</v>
      </c>
    </row>
    <row r="4" spans="1:6" x14ac:dyDescent="0.3">
      <c r="A4" s="73">
        <v>1.1000000000000001</v>
      </c>
      <c r="B4" s="9" t="s">
        <v>22</v>
      </c>
      <c r="C4" s="9"/>
      <c r="D4" s="73" t="s">
        <v>41</v>
      </c>
      <c r="E4" s="8">
        <v>8</v>
      </c>
      <c r="F4" s="25">
        <f>ROUNDDOWN(E4*F3,0)</f>
        <v>552</v>
      </c>
    </row>
    <row r="5" spans="1:6" x14ac:dyDescent="0.3">
      <c r="A5" s="73">
        <v>1.2</v>
      </c>
      <c r="B5" s="9" t="s">
        <v>23</v>
      </c>
      <c r="C5" s="9"/>
      <c r="D5" s="73" t="s">
        <v>6</v>
      </c>
      <c r="E5" s="8">
        <v>1.8</v>
      </c>
      <c r="F5" s="25">
        <f>E5*F3*60</f>
        <v>7453.0800000000008</v>
      </c>
    </row>
    <row r="6" spans="1:6" x14ac:dyDescent="0.3">
      <c r="A6" s="107">
        <v>1.3</v>
      </c>
      <c r="B6" s="9" t="s">
        <v>24</v>
      </c>
      <c r="C6" s="9"/>
      <c r="D6" s="73" t="s">
        <v>7</v>
      </c>
      <c r="E6" s="8">
        <v>1.1000000000000001</v>
      </c>
      <c r="F6" s="25">
        <f>E6*F3</f>
        <v>75.911000000000016</v>
      </c>
    </row>
    <row r="7" spans="1:6" x14ac:dyDescent="0.3">
      <c r="A7" s="107">
        <v>1.4</v>
      </c>
      <c r="B7" s="9" t="s">
        <v>12</v>
      </c>
      <c r="C7" s="9"/>
      <c r="D7" s="73" t="s">
        <v>5</v>
      </c>
      <c r="E7" s="8">
        <v>1</v>
      </c>
      <c r="F7" s="25">
        <f>E7*F3</f>
        <v>69.010000000000005</v>
      </c>
    </row>
    <row r="8" spans="1:6" ht="39.6" x14ac:dyDescent="0.3">
      <c r="A8" s="102">
        <v>2</v>
      </c>
      <c r="B8" s="103" t="s">
        <v>26</v>
      </c>
      <c r="C8" s="104" t="s">
        <v>43</v>
      </c>
      <c r="D8" s="102" t="s">
        <v>7</v>
      </c>
      <c r="E8" s="105">
        <v>1</v>
      </c>
      <c r="F8" s="106">
        <f>'1эт'!E41</f>
        <v>2263.66</v>
      </c>
    </row>
    <row r="9" spans="1:6" x14ac:dyDescent="0.3">
      <c r="A9" s="73">
        <v>2.1</v>
      </c>
      <c r="B9" s="9" t="s">
        <v>22</v>
      </c>
      <c r="C9" s="9"/>
      <c r="D9" s="73" t="s">
        <v>41</v>
      </c>
      <c r="E9" s="8">
        <v>8</v>
      </c>
      <c r="F9" s="25">
        <f>ROUNDDOWN(E9*F8,0)</f>
        <v>18109</v>
      </c>
    </row>
    <row r="10" spans="1:6" x14ac:dyDescent="0.3">
      <c r="A10" s="73">
        <v>2.2000000000000002</v>
      </c>
      <c r="B10" s="9" t="s">
        <v>23</v>
      </c>
      <c r="C10" s="9"/>
      <c r="D10" s="73" t="s">
        <v>6</v>
      </c>
      <c r="E10" s="8">
        <v>1.8</v>
      </c>
      <c r="F10" s="25">
        <f>E10*F8*65</f>
        <v>264848.21999999997</v>
      </c>
    </row>
    <row r="11" spans="1:6" x14ac:dyDescent="0.3">
      <c r="A11" s="107">
        <v>2.2999999999999998</v>
      </c>
      <c r="B11" s="9" t="s">
        <v>24</v>
      </c>
      <c r="C11" s="9"/>
      <c r="D11" s="73" t="s">
        <v>7</v>
      </c>
      <c r="E11" s="8">
        <v>1.1000000000000001</v>
      </c>
      <c r="F11" s="25">
        <f>E11*F8</f>
        <v>2490.0259999999998</v>
      </c>
    </row>
    <row r="12" spans="1:6" x14ac:dyDescent="0.3">
      <c r="A12" s="107">
        <v>2.4</v>
      </c>
      <c r="B12" s="9" t="s">
        <v>12</v>
      </c>
      <c r="C12" s="9"/>
      <c r="D12" s="73" t="s">
        <v>5</v>
      </c>
      <c r="E12" s="8">
        <v>1</v>
      </c>
      <c r="F12" s="25">
        <f>E12*F8</f>
        <v>2263.66</v>
      </c>
    </row>
    <row r="13" spans="1:6" ht="26.4" x14ac:dyDescent="0.3">
      <c r="A13" s="108">
        <v>3</v>
      </c>
      <c r="B13" s="109" t="s">
        <v>26</v>
      </c>
      <c r="C13" s="110" t="s">
        <v>44</v>
      </c>
      <c r="D13" s="108" t="s">
        <v>7</v>
      </c>
      <c r="E13" s="111">
        <v>1</v>
      </c>
      <c r="F13" s="44">
        <f>'2эт'!E16</f>
        <v>168.62</v>
      </c>
    </row>
    <row r="14" spans="1:6" x14ac:dyDescent="0.3">
      <c r="A14" s="73">
        <v>3.1</v>
      </c>
      <c r="B14" s="9" t="s">
        <v>8</v>
      </c>
      <c r="C14" s="9"/>
      <c r="D14" s="73" t="s">
        <v>6</v>
      </c>
      <c r="E14" s="8">
        <v>0.255</v>
      </c>
      <c r="F14" s="25">
        <f>E14*F13</f>
        <v>42.998100000000001</v>
      </c>
    </row>
    <row r="15" spans="1:6" x14ac:dyDescent="0.3">
      <c r="A15" s="73">
        <v>3.2</v>
      </c>
      <c r="B15" s="9" t="s">
        <v>12</v>
      </c>
      <c r="C15" s="9"/>
      <c r="D15" s="73" t="s">
        <v>5</v>
      </c>
      <c r="E15" s="8">
        <v>1</v>
      </c>
      <c r="F15" s="25">
        <f>E15*F13</f>
        <v>168.62</v>
      </c>
    </row>
    <row r="16" spans="1:6" x14ac:dyDescent="0.3">
      <c r="A16" s="107">
        <v>3.3</v>
      </c>
      <c r="B16" s="9" t="s">
        <v>24</v>
      </c>
      <c r="C16" s="9"/>
      <c r="D16" s="73" t="s">
        <v>7</v>
      </c>
      <c r="E16" s="8">
        <v>1.1000000000000001</v>
      </c>
      <c r="F16" s="25">
        <f>E16*F13</f>
        <v>185.48200000000003</v>
      </c>
    </row>
    <row r="17" spans="1:6" x14ac:dyDescent="0.3">
      <c r="A17" s="107">
        <v>3.4</v>
      </c>
      <c r="B17" s="9" t="s">
        <v>23</v>
      </c>
      <c r="C17" s="9"/>
      <c r="D17" s="73" t="s">
        <v>6</v>
      </c>
      <c r="E17" s="8">
        <v>1.8</v>
      </c>
      <c r="F17" s="25">
        <f>E17*F13*68</f>
        <v>20639.088</v>
      </c>
    </row>
    <row r="18" spans="1:6" x14ac:dyDescent="0.3">
      <c r="A18" s="107">
        <v>3.5</v>
      </c>
      <c r="B18" s="72" t="s">
        <v>22</v>
      </c>
      <c r="C18" s="90"/>
      <c r="D18" s="67" t="s">
        <v>41</v>
      </c>
      <c r="E18" s="70">
        <v>8</v>
      </c>
      <c r="F18" s="25">
        <f>ROUNDDOWN(E18*F13,0)</f>
        <v>1348</v>
      </c>
    </row>
    <row r="19" spans="1:6" ht="27" x14ac:dyDescent="0.3">
      <c r="A19" s="116">
        <v>4</v>
      </c>
      <c r="B19" s="117" t="s">
        <v>26</v>
      </c>
      <c r="C19" s="117" t="s">
        <v>45</v>
      </c>
      <c r="D19" s="116" t="s">
        <v>7</v>
      </c>
      <c r="E19" s="118">
        <v>1</v>
      </c>
      <c r="F19" s="119">
        <f>'1эт'!E11</f>
        <v>19.420000000000002</v>
      </c>
    </row>
    <row r="20" spans="1:6" x14ac:dyDescent="0.3">
      <c r="A20" s="73">
        <v>4.0999999999999996</v>
      </c>
      <c r="B20" s="9" t="s">
        <v>22</v>
      </c>
      <c r="C20" s="9"/>
      <c r="D20" s="73" t="s">
        <v>41</v>
      </c>
      <c r="E20" s="8">
        <v>8</v>
      </c>
      <c r="F20" s="25">
        <f>ROUNDDOWN(E20*F19,0)</f>
        <v>155</v>
      </c>
    </row>
    <row r="21" spans="1:6" x14ac:dyDescent="0.3">
      <c r="A21" s="73">
        <v>4.2</v>
      </c>
      <c r="B21" s="9" t="s">
        <v>27</v>
      </c>
      <c r="C21" s="9"/>
      <c r="D21" s="73" t="s">
        <v>6</v>
      </c>
      <c r="E21" s="8">
        <v>1.8</v>
      </c>
      <c r="F21" s="25">
        <f>E21*F19*70</f>
        <v>2446.92</v>
      </c>
    </row>
    <row r="22" spans="1:6" x14ac:dyDescent="0.3">
      <c r="A22" s="107">
        <v>4.3</v>
      </c>
      <c r="B22" s="9" t="s">
        <v>28</v>
      </c>
      <c r="C22" s="9"/>
      <c r="D22" s="73" t="s">
        <v>7</v>
      </c>
      <c r="E22" s="8">
        <v>1.1000000000000001</v>
      </c>
      <c r="F22" s="25">
        <f>E22*F19</f>
        <v>21.362000000000002</v>
      </c>
    </row>
    <row r="23" spans="1:6" x14ac:dyDescent="0.3">
      <c r="A23" s="107">
        <v>4.4000000000000004</v>
      </c>
      <c r="B23" s="9" t="s">
        <v>12</v>
      </c>
      <c r="C23" s="9"/>
      <c r="D23" s="73" t="s">
        <v>5</v>
      </c>
      <c r="E23" s="8">
        <v>1</v>
      </c>
      <c r="F23" s="25">
        <f>E23*F19</f>
        <v>19.420000000000002</v>
      </c>
    </row>
    <row r="24" spans="1:6" ht="27" x14ac:dyDescent="0.3">
      <c r="A24" s="112">
        <v>5</v>
      </c>
      <c r="B24" s="113" t="s">
        <v>26</v>
      </c>
      <c r="C24" s="113" t="s">
        <v>46</v>
      </c>
      <c r="D24" s="112" t="s">
        <v>7</v>
      </c>
      <c r="E24" s="114">
        <v>1</v>
      </c>
      <c r="F24" s="115">
        <f>'2эт'!E12+'3эт'!E10</f>
        <v>101.29</v>
      </c>
    </row>
    <row r="25" spans="1:6" x14ac:dyDescent="0.3">
      <c r="A25" s="73">
        <v>5.0999999999999996</v>
      </c>
      <c r="B25" s="9" t="s">
        <v>12</v>
      </c>
      <c r="C25" s="9"/>
      <c r="D25" s="73" t="s">
        <v>5</v>
      </c>
      <c r="E25" s="8">
        <v>1</v>
      </c>
      <c r="F25" s="25">
        <f>F24*E25</f>
        <v>101.29</v>
      </c>
    </row>
    <row r="26" spans="1:6" x14ac:dyDescent="0.3">
      <c r="A26" s="73">
        <v>5.2</v>
      </c>
      <c r="B26" s="9" t="s">
        <v>28</v>
      </c>
      <c r="C26" s="9"/>
      <c r="D26" s="73" t="s">
        <v>7</v>
      </c>
      <c r="E26" s="8">
        <v>1.1000000000000001</v>
      </c>
      <c r="F26" s="25">
        <f>E26*F24</f>
        <v>111.41900000000001</v>
      </c>
    </row>
    <row r="27" spans="1:6" x14ac:dyDescent="0.3">
      <c r="A27" s="107">
        <v>5.3</v>
      </c>
      <c r="B27" s="9" t="s">
        <v>27</v>
      </c>
      <c r="C27" s="9"/>
      <c r="D27" s="73" t="s">
        <v>6</v>
      </c>
      <c r="E27" s="8">
        <v>1.8</v>
      </c>
      <c r="F27" s="25">
        <f>E27*F24*80</f>
        <v>14585.76</v>
      </c>
    </row>
    <row r="28" spans="1:6" x14ac:dyDescent="0.3">
      <c r="A28" s="107">
        <v>5.4</v>
      </c>
      <c r="B28" s="9" t="s">
        <v>22</v>
      </c>
      <c r="C28" s="9"/>
      <c r="D28" s="73" t="s">
        <v>41</v>
      </c>
      <c r="E28" s="8">
        <v>8</v>
      </c>
      <c r="F28" s="25">
        <f>ROUNDDOWN(E28*F24,0)</f>
        <v>810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E41"/>
  <sheetViews>
    <sheetView zoomScale="115" zoomScaleNormal="115" workbookViewId="0">
      <selection activeCell="E41" sqref="E41"/>
    </sheetView>
  </sheetViews>
  <sheetFormatPr defaultColWidth="9.109375" defaultRowHeight="13.2" x14ac:dyDescent="0.25"/>
  <cols>
    <col min="1" max="16384" width="9.109375" style="101"/>
  </cols>
  <sheetData>
    <row r="1" spans="1:5" x14ac:dyDescent="0.25">
      <c r="A1" s="258" t="s">
        <v>110</v>
      </c>
      <c r="B1" s="259"/>
      <c r="C1" s="259"/>
      <c r="D1" s="259"/>
      <c r="E1" s="260"/>
    </row>
    <row r="2" spans="1:5" x14ac:dyDescent="0.25">
      <c r="A2" s="85" t="s">
        <v>0</v>
      </c>
      <c r="B2" s="85" t="s">
        <v>97</v>
      </c>
      <c r="C2" s="85" t="s">
        <v>98</v>
      </c>
      <c r="D2" s="85" t="s">
        <v>93</v>
      </c>
      <c r="E2" s="85" t="s">
        <v>51</v>
      </c>
    </row>
    <row r="3" spans="1:5" x14ac:dyDescent="0.25">
      <c r="A3" s="85">
        <v>1</v>
      </c>
      <c r="B3" s="85">
        <v>1</v>
      </c>
      <c r="C3" s="85" t="s">
        <v>113</v>
      </c>
      <c r="D3" s="85">
        <v>9.1</v>
      </c>
      <c r="E3" s="100">
        <f>37.5-2.48</f>
        <v>35.020000000000003</v>
      </c>
    </row>
    <row r="4" spans="1:5" x14ac:dyDescent="0.25">
      <c r="A4" s="85">
        <v>2</v>
      </c>
      <c r="B4" s="85">
        <v>4.0999999999999996</v>
      </c>
      <c r="C4" s="85" t="s">
        <v>113</v>
      </c>
      <c r="D4" s="85">
        <v>9.1</v>
      </c>
      <c r="E4" s="100">
        <v>4.2</v>
      </c>
    </row>
    <row r="5" spans="1:5" x14ac:dyDescent="0.25">
      <c r="D5" s="101" t="s">
        <v>114</v>
      </c>
      <c r="E5" s="101">
        <f>SUM(E3:E4)</f>
        <v>39.220000000000006</v>
      </c>
    </row>
    <row r="7" spans="1:5" x14ac:dyDescent="0.25">
      <c r="A7" s="258" t="s">
        <v>110</v>
      </c>
      <c r="B7" s="259"/>
      <c r="C7" s="259"/>
      <c r="D7" s="259"/>
      <c r="E7" s="260"/>
    </row>
    <row r="8" spans="1:5" x14ac:dyDescent="0.25">
      <c r="A8" s="85" t="s">
        <v>0</v>
      </c>
      <c r="B8" s="85" t="s">
        <v>97</v>
      </c>
      <c r="C8" s="85" t="s">
        <v>98</v>
      </c>
      <c r="D8" s="85" t="s">
        <v>93</v>
      </c>
      <c r="E8" s="85" t="s">
        <v>51</v>
      </c>
    </row>
    <row r="9" spans="1:5" x14ac:dyDescent="0.25">
      <c r="A9" s="85">
        <v>1</v>
      </c>
      <c r="B9" s="85">
        <v>1</v>
      </c>
      <c r="C9" s="85" t="s">
        <v>113</v>
      </c>
      <c r="D9" s="85">
        <v>5</v>
      </c>
      <c r="E9" s="100">
        <v>11.69</v>
      </c>
    </row>
    <row r="10" spans="1:5" x14ac:dyDescent="0.25">
      <c r="A10" s="85">
        <v>2</v>
      </c>
      <c r="B10" s="85">
        <v>4.0999999999999996</v>
      </c>
      <c r="C10" s="85" t="s">
        <v>113</v>
      </c>
      <c r="D10" s="85">
        <v>5</v>
      </c>
      <c r="E10" s="100">
        <v>7.73</v>
      </c>
    </row>
    <row r="11" spans="1:5" x14ac:dyDescent="0.25">
      <c r="D11" s="101" t="s">
        <v>114</v>
      </c>
      <c r="E11" s="101">
        <f>SUM(E9:E10)</f>
        <v>19.420000000000002</v>
      </c>
    </row>
    <row r="13" spans="1:5" x14ac:dyDescent="0.25">
      <c r="A13" s="258" t="s">
        <v>48</v>
      </c>
      <c r="B13" s="259"/>
      <c r="C13" s="259"/>
      <c r="D13" s="259"/>
      <c r="E13" s="260"/>
    </row>
    <row r="14" spans="1:5" x14ac:dyDescent="0.25">
      <c r="A14" s="85" t="s">
        <v>0</v>
      </c>
      <c r="B14" s="85" t="s">
        <v>97</v>
      </c>
      <c r="C14" s="85" t="s">
        <v>98</v>
      </c>
      <c r="D14" s="85" t="s">
        <v>93</v>
      </c>
      <c r="E14" s="85" t="s">
        <v>51</v>
      </c>
    </row>
    <row r="15" spans="1:5" x14ac:dyDescent="0.25">
      <c r="A15" s="85">
        <v>1</v>
      </c>
      <c r="B15" s="85">
        <v>1</v>
      </c>
      <c r="C15" s="85">
        <v>1.024</v>
      </c>
      <c r="D15" s="85">
        <v>6</v>
      </c>
      <c r="E15" s="85">
        <v>13.62</v>
      </c>
    </row>
    <row r="16" spans="1:5" x14ac:dyDescent="0.25">
      <c r="A16" s="85">
        <v>2</v>
      </c>
      <c r="B16" s="85">
        <v>4.0999999999999996</v>
      </c>
      <c r="C16" s="85">
        <v>1.0449999999999999</v>
      </c>
      <c r="D16" s="85">
        <v>6</v>
      </c>
      <c r="E16" s="85">
        <v>161.78</v>
      </c>
    </row>
    <row r="17" spans="1:5" x14ac:dyDescent="0.25">
      <c r="A17" s="85">
        <v>3</v>
      </c>
      <c r="B17" s="85">
        <v>4.0999999999999996</v>
      </c>
      <c r="C17" s="85">
        <v>1.046</v>
      </c>
      <c r="D17" s="85">
        <v>6</v>
      </c>
      <c r="E17" s="85">
        <v>161.15</v>
      </c>
    </row>
    <row r="18" spans="1:5" x14ac:dyDescent="0.25">
      <c r="A18" s="85">
        <v>4</v>
      </c>
      <c r="B18" s="85">
        <v>4.0999999999999996</v>
      </c>
      <c r="C18" s="85">
        <v>1.0529999999999999</v>
      </c>
      <c r="D18" s="85">
        <v>6</v>
      </c>
      <c r="E18" s="85">
        <v>443.48</v>
      </c>
    </row>
    <row r="19" spans="1:5" x14ac:dyDescent="0.25">
      <c r="A19" s="85">
        <v>5</v>
      </c>
      <c r="B19" s="85">
        <v>1</v>
      </c>
      <c r="C19" s="85">
        <v>1.034</v>
      </c>
      <c r="D19" s="85">
        <v>7</v>
      </c>
      <c r="E19" s="85">
        <v>17.22</v>
      </c>
    </row>
    <row r="20" spans="1:5" x14ac:dyDescent="0.25">
      <c r="A20" s="85">
        <v>6</v>
      </c>
      <c r="B20" s="85">
        <v>1</v>
      </c>
      <c r="C20" s="85">
        <v>1.0349999999999999</v>
      </c>
      <c r="D20" s="85">
        <v>7</v>
      </c>
      <c r="E20" s="85">
        <v>21.63</v>
      </c>
    </row>
    <row r="21" spans="1:5" x14ac:dyDescent="0.25">
      <c r="A21" s="85">
        <v>7</v>
      </c>
      <c r="B21" s="85">
        <v>1</v>
      </c>
      <c r="C21" s="85">
        <v>1.036</v>
      </c>
      <c r="D21" s="85">
        <v>7</v>
      </c>
      <c r="E21" s="85">
        <v>5.76</v>
      </c>
    </row>
    <row r="22" spans="1:5" x14ac:dyDescent="0.25">
      <c r="A22" s="85">
        <v>8</v>
      </c>
      <c r="B22" s="85">
        <v>4.0999999999999996</v>
      </c>
      <c r="C22" s="85">
        <v>1.054</v>
      </c>
      <c r="D22" s="85">
        <v>7</v>
      </c>
      <c r="E22" s="85">
        <v>14.54</v>
      </c>
    </row>
    <row r="23" spans="1:5" x14ac:dyDescent="0.25">
      <c r="A23" s="85">
        <v>9</v>
      </c>
      <c r="B23" s="85">
        <v>4.0999999999999996</v>
      </c>
      <c r="C23" s="85">
        <v>1.048</v>
      </c>
      <c r="D23" s="85">
        <v>8.1</v>
      </c>
      <c r="E23" s="85">
        <v>23.92</v>
      </c>
    </row>
    <row r="24" spans="1:5" x14ac:dyDescent="0.25">
      <c r="A24" s="85">
        <v>10</v>
      </c>
      <c r="B24" s="85">
        <v>1</v>
      </c>
      <c r="C24" s="85">
        <v>1.0369999999999999</v>
      </c>
      <c r="D24" s="85">
        <v>8.1999999999999993</v>
      </c>
      <c r="E24" s="85">
        <v>3.34</v>
      </c>
    </row>
    <row r="25" spans="1:5" x14ac:dyDescent="0.25">
      <c r="A25" s="85">
        <v>11</v>
      </c>
      <c r="B25" s="85">
        <v>1</v>
      </c>
      <c r="C25" s="85">
        <v>1.038</v>
      </c>
      <c r="D25" s="85">
        <v>8.1999999999999993</v>
      </c>
      <c r="E25" s="85">
        <v>5.25</v>
      </c>
    </row>
    <row r="26" spans="1:5" x14ac:dyDescent="0.25">
      <c r="A26" s="85">
        <v>12</v>
      </c>
      <c r="B26" s="85">
        <v>1</v>
      </c>
      <c r="C26" s="85">
        <v>1.026</v>
      </c>
      <c r="D26" s="85">
        <v>9</v>
      </c>
      <c r="E26" s="85">
        <v>191.68</v>
      </c>
    </row>
    <row r="27" spans="1:5" x14ac:dyDescent="0.25">
      <c r="A27" s="85">
        <v>13</v>
      </c>
      <c r="B27" s="85">
        <v>1</v>
      </c>
      <c r="C27" s="85">
        <v>1.0269999999999999</v>
      </c>
      <c r="D27" s="85">
        <v>9</v>
      </c>
      <c r="E27" s="85">
        <v>114.04</v>
      </c>
    </row>
    <row r="28" spans="1:5" x14ac:dyDescent="0.25">
      <c r="A28" s="85">
        <v>14</v>
      </c>
      <c r="B28" s="85">
        <v>1</v>
      </c>
      <c r="C28" s="85">
        <v>1.028</v>
      </c>
      <c r="D28" s="85">
        <v>9</v>
      </c>
      <c r="E28" s="85">
        <v>68.81</v>
      </c>
    </row>
    <row r="29" spans="1:5" x14ac:dyDescent="0.25">
      <c r="A29" s="85">
        <v>15</v>
      </c>
      <c r="B29" s="85">
        <v>1</v>
      </c>
      <c r="C29" s="85">
        <v>1.0289999999999999</v>
      </c>
      <c r="D29" s="85">
        <v>9</v>
      </c>
      <c r="E29" s="85">
        <v>68.81</v>
      </c>
    </row>
    <row r="30" spans="1:5" x14ac:dyDescent="0.25">
      <c r="A30" s="85">
        <v>16</v>
      </c>
      <c r="B30" s="85">
        <v>1</v>
      </c>
      <c r="C30" s="85">
        <v>1.03</v>
      </c>
      <c r="D30" s="85">
        <v>9</v>
      </c>
      <c r="E30" s="85">
        <v>68.89</v>
      </c>
    </row>
    <row r="31" spans="1:5" x14ac:dyDescent="0.25">
      <c r="A31" s="85">
        <v>17</v>
      </c>
      <c r="B31" s="85">
        <v>1</v>
      </c>
      <c r="C31" s="85">
        <v>1.0309999999999999</v>
      </c>
      <c r="D31" s="85">
        <v>9</v>
      </c>
      <c r="E31" s="85">
        <v>68.89</v>
      </c>
    </row>
    <row r="32" spans="1:5" x14ac:dyDescent="0.25">
      <c r="A32" s="85">
        <v>18</v>
      </c>
      <c r="B32" s="85">
        <v>1</v>
      </c>
      <c r="C32" s="85">
        <v>1.032</v>
      </c>
      <c r="D32" s="85">
        <v>9</v>
      </c>
      <c r="E32" s="85">
        <v>68.069999999999993</v>
      </c>
    </row>
    <row r="33" spans="1:5" x14ac:dyDescent="0.25">
      <c r="A33" s="85">
        <v>19</v>
      </c>
      <c r="B33" s="85">
        <v>1</v>
      </c>
      <c r="C33" s="85">
        <v>1.0329999999999999</v>
      </c>
      <c r="D33" s="85">
        <v>9</v>
      </c>
      <c r="E33" s="85">
        <v>139.1</v>
      </c>
    </row>
    <row r="34" spans="1:5" x14ac:dyDescent="0.25">
      <c r="A34" s="85">
        <v>20</v>
      </c>
      <c r="B34" s="85">
        <v>1</v>
      </c>
      <c r="C34" s="85">
        <v>1.0389999999999999</v>
      </c>
      <c r="D34" s="85">
        <v>9</v>
      </c>
      <c r="E34" s="85">
        <v>149.69999999999999</v>
      </c>
    </row>
    <row r="35" spans="1:5" x14ac:dyDescent="0.25">
      <c r="A35" s="85">
        <v>21</v>
      </c>
      <c r="B35" s="85">
        <v>4.0999999999999996</v>
      </c>
      <c r="C35" s="85">
        <v>1.04</v>
      </c>
      <c r="D35" s="85">
        <v>9</v>
      </c>
      <c r="E35" s="85">
        <v>220.47</v>
      </c>
    </row>
    <row r="36" spans="1:5" x14ac:dyDescent="0.25">
      <c r="A36" s="85">
        <v>22</v>
      </c>
      <c r="B36" s="85">
        <v>4.0999999999999996</v>
      </c>
      <c r="C36" s="85">
        <v>1.0429999999999999</v>
      </c>
      <c r="D36" s="85">
        <v>9</v>
      </c>
      <c r="E36" s="85">
        <v>61.99</v>
      </c>
    </row>
    <row r="37" spans="1:5" x14ac:dyDescent="0.25">
      <c r="A37" s="85">
        <v>23</v>
      </c>
      <c r="B37" s="85">
        <v>4.0999999999999996</v>
      </c>
      <c r="C37" s="85">
        <v>1.044</v>
      </c>
      <c r="D37" s="85">
        <v>9</v>
      </c>
      <c r="E37" s="85">
        <v>14.14</v>
      </c>
    </row>
    <row r="38" spans="1:5" x14ac:dyDescent="0.25">
      <c r="A38" s="85">
        <v>24</v>
      </c>
      <c r="B38" s="85">
        <v>4.0999999999999996</v>
      </c>
      <c r="C38" s="85">
        <v>1.0489999999999999</v>
      </c>
      <c r="D38" s="85">
        <v>9</v>
      </c>
      <c r="E38" s="85">
        <v>103.8</v>
      </c>
    </row>
    <row r="39" spans="1:5" x14ac:dyDescent="0.25">
      <c r="A39" s="85">
        <v>25</v>
      </c>
      <c r="B39" s="85">
        <v>4.0999999999999996</v>
      </c>
      <c r="C39" s="85">
        <v>1.05</v>
      </c>
      <c r="D39" s="85">
        <v>9</v>
      </c>
      <c r="E39" s="85">
        <v>22</v>
      </c>
    </row>
    <row r="40" spans="1:5" x14ac:dyDescent="0.25">
      <c r="A40" s="85">
        <v>26</v>
      </c>
      <c r="B40" s="85">
        <v>4.0999999999999996</v>
      </c>
      <c r="C40" s="85">
        <v>1.0509999999999999</v>
      </c>
      <c r="D40" s="85">
        <v>9</v>
      </c>
      <c r="E40" s="85">
        <v>31.58</v>
      </c>
    </row>
    <row r="41" spans="1:5" x14ac:dyDescent="0.25">
      <c r="A41" s="85"/>
      <c r="B41" s="85"/>
      <c r="C41" s="85"/>
      <c r="D41" s="85" t="s">
        <v>114</v>
      </c>
      <c r="E41" s="85">
        <f>SUM(E15:E40)</f>
        <v>2263.66</v>
      </c>
    </row>
  </sheetData>
  <mergeCells count="3">
    <mergeCell ref="A1:E1"/>
    <mergeCell ref="A7:E7"/>
    <mergeCell ref="A13:E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E16"/>
  <sheetViews>
    <sheetView workbookViewId="0">
      <selection activeCell="E10" sqref="E10"/>
    </sheetView>
  </sheetViews>
  <sheetFormatPr defaultColWidth="9.109375" defaultRowHeight="13.2" x14ac:dyDescent="0.25"/>
  <cols>
    <col min="1" max="16384" width="9.109375" style="101"/>
  </cols>
  <sheetData>
    <row r="1" spans="1:5" x14ac:dyDescent="0.25">
      <c r="A1" s="261" t="s">
        <v>111</v>
      </c>
      <c r="B1" s="261"/>
      <c r="C1" s="261"/>
      <c r="D1" s="261"/>
      <c r="E1" s="261"/>
    </row>
    <row r="2" spans="1:5" x14ac:dyDescent="0.25">
      <c r="A2" s="85" t="s">
        <v>0</v>
      </c>
      <c r="B2" s="85" t="s">
        <v>97</v>
      </c>
      <c r="C2" s="85" t="s">
        <v>98</v>
      </c>
      <c r="D2" s="85" t="s">
        <v>93</v>
      </c>
      <c r="E2" s="85" t="s">
        <v>51</v>
      </c>
    </row>
    <row r="3" spans="1:5" x14ac:dyDescent="0.25">
      <c r="A3" s="85">
        <v>1</v>
      </c>
      <c r="B3" s="85">
        <v>1</v>
      </c>
      <c r="C3" s="85" t="s">
        <v>113</v>
      </c>
      <c r="D3" s="85">
        <v>9.3000000000000007</v>
      </c>
      <c r="E3" s="100">
        <v>14.5</v>
      </c>
    </row>
    <row r="4" spans="1:5" x14ac:dyDescent="0.25">
      <c r="A4" s="85">
        <v>2</v>
      </c>
      <c r="B4" s="85">
        <v>4.0999999999999996</v>
      </c>
      <c r="C4" s="85" t="s">
        <v>113</v>
      </c>
      <c r="D4" s="85">
        <v>9.3000000000000007</v>
      </c>
      <c r="E4" s="100">
        <v>0.5</v>
      </c>
    </row>
    <row r="5" spans="1:5" x14ac:dyDescent="0.25">
      <c r="A5" s="85"/>
      <c r="B5" s="85"/>
      <c r="C5" s="85"/>
      <c r="D5" s="85" t="s">
        <v>114</v>
      </c>
      <c r="E5" s="120">
        <f>SUM(E3:E4)</f>
        <v>15</v>
      </c>
    </row>
    <row r="7" spans="1:5" x14ac:dyDescent="0.25">
      <c r="A7" s="261" t="s">
        <v>111</v>
      </c>
      <c r="B7" s="261"/>
      <c r="C7" s="261"/>
      <c r="D7" s="261"/>
      <c r="E7" s="261"/>
    </row>
    <row r="8" spans="1:5" x14ac:dyDescent="0.25">
      <c r="A8" s="85" t="s">
        <v>0</v>
      </c>
      <c r="B8" s="85" t="s">
        <v>97</v>
      </c>
      <c r="C8" s="85" t="s">
        <v>98</v>
      </c>
      <c r="D8" s="85" t="s">
        <v>93</v>
      </c>
      <c r="E8" s="85" t="s">
        <v>51</v>
      </c>
    </row>
    <row r="9" spans="1:5" x14ac:dyDescent="0.25">
      <c r="A9" s="85">
        <v>1</v>
      </c>
      <c r="B9" s="85">
        <v>1</v>
      </c>
      <c r="C9" s="85" t="s">
        <v>113</v>
      </c>
      <c r="D9" s="85">
        <v>5.0999999999999996</v>
      </c>
      <c r="E9" s="85">
        <v>8.2799999999999994</v>
      </c>
    </row>
    <row r="10" spans="1:5" x14ac:dyDescent="0.25">
      <c r="A10" s="85">
        <v>2</v>
      </c>
      <c r="B10" s="85">
        <v>4.0999999999999996</v>
      </c>
      <c r="C10" s="85" t="s">
        <v>113</v>
      </c>
      <c r="D10" s="85">
        <v>5.0999999999999996</v>
      </c>
      <c r="E10" s="85">
        <v>8.39</v>
      </c>
    </row>
    <row r="11" spans="1:5" x14ac:dyDescent="0.25">
      <c r="A11" s="85">
        <v>3</v>
      </c>
      <c r="B11" s="85">
        <v>4.0999999999999996</v>
      </c>
      <c r="C11" s="85">
        <v>2.16</v>
      </c>
      <c r="D11" s="85">
        <v>4.4000000000000004</v>
      </c>
      <c r="E11" s="85">
        <v>72.64</v>
      </c>
    </row>
    <row r="12" spans="1:5" x14ac:dyDescent="0.25">
      <c r="A12" s="85"/>
      <c r="B12" s="85"/>
      <c r="C12" s="85"/>
      <c r="D12" s="85" t="s">
        <v>114</v>
      </c>
      <c r="E12" s="85">
        <f>SUM(E9:E11)</f>
        <v>89.31</v>
      </c>
    </row>
    <row r="14" spans="1:5" x14ac:dyDescent="0.25">
      <c r="A14" s="261" t="s">
        <v>111</v>
      </c>
      <c r="B14" s="261"/>
      <c r="C14" s="261"/>
      <c r="D14" s="261"/>
      <c r="E14" s="261"/>
    </row>
    <row r="15" spans="1:5" x14ac:dyDescent="0.25">
      <c r="A15" s="85">
        <v>1</v>
      </c>
      <c r="B15" s="85">
        <v>4.0999999999999996</v>
      </c>
      <c r="C15" s="85">
        <v>2.085</v>
      </c>
      <c r="D15" s="85">
        <v>11.1</v>
      </c>
      <c r="E15" s="85">
        <v>168.62</v>
      </c>
    </row>
    <row r="16" spans="1:5" x14ac:dyDescent="0.25">
      <c r="D16" s="85" t="s">
        <v>114</v>
      </c>
      <c r="E16" s="85">
        <f>SUM(E15:E15)</f>
        <v>168.62</v>
      </c>
    </row>
  </sheetData>
  <mergeCells count="3">
    <mergeCell ref="A1:E1"/>
    <mergeCell ref="A7:E7"/>
    <mergeCell ref="A14:E1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E10"/>
  <sheetViews>
    <sheetView workbookViewId="0">
      <selection activeCell="E4" sqref="E4"/>
    </sheetView>
  </sheetViews>
  <sheetFormatPr defaultRowHeight="14.4" x14ac:dyDescent="0.3"/>
  <sheetData>
    <row r="1" spans="1:5" x14ac:dyDescent="0.3">
      <c r="A1" s="261" t="s">
        <v>109</v>
      </c>
      <c r="B1" s="261"/>
      <c r="C1" s="261"/>
      <c r="D1" s="261"/>
      <c r="E1" s="261"/>
    </row>
    <row r="2" spans="1:5" x14ac:dyDescent="0.3">
      <c r="A2" s="85" t="s">
        <v>0</v>
      </c>
      <c r="B2" s="85" t="s">
        <v>97</v>
      </c>
      <c r="C2" s="85" t="s">
        <v>98</v>
      </c>
      <c r="D2" s="85" t="s">
        <v>93</v>
      </c>
      <c r="E2" s="85" t="s">
        <v>51</v>
      </c>
    </row>
    <row r="3" spans="1:5" ht="15.75" customHeight="1" x14ac:dyDescent="0.3">
      <c r="A3" s="85">
        <v>4</v>
      </c>
      <c r="B3" s="85">
        <v>1</v>
      </c>
      <c r="C3" s="85" t="s">
        <v>113</v>
      </c>
      <c r="D3" s="85">
        <v>9.3000000000000007</v>
      </c>
      <c r="E3" s="100">
        <v>14.79</v>
      </c>
    </row>
    <row r="4" spans="1:5" ht="15.75" customHeight="1" x14ac:dyDescent="0.3">
      <c r="A4" s="85"/>
      <c r="B4" s="85"/>
      <c r="C4" s="85"/>
      <c r="D4" s="85" t="s">
        <v>114</v>
      </c>
      <c r="E4" s="85">
        <f>SUM(E3:E3)</f>
        <v>14.79</v>
      </c>
    </row>
    <row r="5" spans="1:5" ht="15.75" customHeight="1" x14ac:dyDescent="0.3"/>
    <row r="6" spans="1:5" x14ac:dyDescent="0.3">
      <c r="A6" s="261" t="s">
        <v>109</v>
      </c>
      <c r="B6" s="261"/>
      <c r="C6" s="261"/>
      <c r="D6" s="261"/>
      <c r="E6" s="261"/>
    </row>
    <row r="7" spans="1:5" x14ac:dyDescent="0.3">
      <c r="A7" s="85" t="s">
        <v>0</v>
      </c>
      <c r="B7" s="85" t="s">
        <v>97</v>
      </c>
      <c r="C7" s="85" t="s">
        <v>98</v>
      </c>
      <c r="D7" s="85" t="s">
        <v>93</v>
      </c>
      <c r="E7" s="85" t="s">
        <v>51</v>
      </c>
    </row>
    <row r="8" spans="1:5" x14ac:dyDescent="0.3">
      <c r="A8" s="85">
        <v>1</v>
      </c>
      <c r="B8" s="85">
        <v>1</v>
      </c>
      <c r="C8" s="85" t="s">
        <v>113</v>
      </c>
      <c r="D8" s="85">
        <v>5.0999999999999996</v>
      </c>
      <c r="E8" s="85">
        <v>6.03</v>
      </c>
    </row>
    <row r="9" spans="1:5" x14ac:dyDescent="0.3">
      <c r="A9" s="85">
        <v>2</v>
      </c>
      <c r="B9" s="85">
        <v>4.0999999999999996</v>
      </c>
      <c r="C9" s="85" t="s">
        <v>113</v>
      </c>
      <c r="D9" s="85">
        <v>5.0999999999999996</v>
      </c>
      <c r="E9" s="85">
        <v>5.95</v>
      </c>
    </row>
    <row r="10" spans="1:5" x14ac:dyDescent="0.3">
      <c r="A10" s="85"/>
      <c r="B10" s="85"/>
      <c r="C10" s="85"/>
      <c r="D10" s="85" t="s">
        <v>114</v>
      </c>
      <c r="E10" s="85">
        <f>SUM(E8:E9)</f>
        <v>11.98</v>
      </c>
    </row>
  </sheetData>
  <mergeCells count="2">
    <mergeCell ref="A1:E1"/>
    <mergeCell ref="A6:E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98"/>
  <sheetViews>
    <sheetView zoomScale="40" zoomScaleNormal="40" workbookViewId="0">
      <selection activeCell="C34" sqref="C34"/>
    </sheetView>
  </sheetViews>
  <sheetFormatPr defaultRowHeight="14.4" x14ac:dyDescent="0.3"/>
  <cols>
    <col min="1" max="1" width="14.44140625" style="121" customWidth="1"/>
    <col min="2" max="2" width="17.77734375" style="121" customWidth="1"/>
    <col min="3" max="3" width="55.5546875" style="121" customWidth="1"/>
    <col min="4" max="4" width="24.44140625" style="121" customWidth="1"/>
    <col min="5" max="5" width="34.109375" style="121" customWidth="1"/>
    <col min="6" max="6" width="16.44140625" style="121" customWidth="1"/>
    <col min="7" max="7" width="16.6640625" style="121" customWidth="1"/>
    <col min="8" max="8" width="16" style="121" customWidth="1"/>
    <col min="9" max="9" width="17.77734375" style="121" customWidth="1"/>
    <col min="10" max="10" width="11.109375" style="121" customWidth="1"/>
    <col min="11" max="18" width="13.33203125" style="121" customWidth="1"/>
    <col min="19" max="16384" width="8.88671875" style="121"/>
  </cols>
  <sheetData>
    <row r="1" spans="1:18" s="122" customFormat="1" ht="32.4" customHeight="1" x14ac:dyDescent="0.3">
      <c r="A1" s="145" t="s">
        <v>300</v>
      </c>
      <c r="B1" s="146" t="s">
        <v>301</v>
      </c>
      <c r="C1" s="146" t="s">
        <v>302</v>
      </c>
      <c r="D1" s="146" t="s">
        <v>303</v>
      </c>
      <c r="E1" s="146" t="s">
        <v>304</v>
      </c>
      <c r="F1" s="146" t="s">
        <v>2</v>
      </c>
      <c r="G1" s="146" t="s">
        <v>305</v>
      </c>
      <c r="H1" s="146" t="s">
        <v>306</v>
      </c>
      <c r="I1" s="146" t="s">
        <v>307</v>
      </c>
      <c r="J1" s="146" t="s">
        <v>308</v>
      </c>
      <c r="K1" s="146" t="s">
        <v>309</v>
      </c>
      <c r="L1" s="146" t="s">
        <v>310</v>
      </c>
      <c r="M1" s="146" t="s">
        <v>311</v>
      </c>
      <c r="N1" s="146" t="s">
        <v>312</v>
      </c>
      <c r="O1" s="146" t="s">
        <v>313</v>
      </c>
      <c r="P1" s="146" t="s">
        <v>314</v>
      </c>
      <c r="Q1" s="146" t="s">
        <v>315</v>
      </c>
      <c r="R1" s="147" t="s">
        <v>316</v>
      </c>
    </row>
    <row r="2" spans="1:18" ht="54" x14ac:dyDescent="0.3">
      <c r="A2" s="143" t="s">
        <v>120</v>
      </c>
      <c r="B2" s="123" t="s">
        <v>29</v>
      </c>
      <c r="C2" s="124" t="s">
        <v>10</v>
      </c>
      <c r="D2" s="125"/>
      <c r="E2" s="125" t="s">
        <v>37</v>
      </c>
      <c r="F2" s="125" t="s">
        <v>7</v>
      </c>
      <c r="G2" s="126">
        <v>1</v>
      </c>
      <c r="H2" s="126"/>
      <c r="I2" s="126">
        <v>4905.38</v>
      </c>
      <c r="J2" s="165">
        <f>'2.1-Нал'!F17</f>
        <v>1838.74</v>
      </c>
      <c r="K2" s="127"/>
      <c r="L2" s="127"/>
      <c r="M2" s="127"/>
      <c r="N2" s="127"/>
      <c r="O2" s="127"/>
      <c r="P2" s="127"/>
      <c r="Q2" s="127"/>
      <c r="R2" s="144"/>
    </row>
    <row r="3" spans="1:18" ht="36" hidden="1" x14ac:dyDescent="0.3">
      <c r="A3" s="143" t="s">
        <v>121</v>
      </c>
      <c r="B3" s="123"/>
      <c r="C3" s="128" t="s">
        <v>11</v>
      </c>
      <c r="D3" s="125"/>
      <c r="E3" s="125"/>
      <c r="F3" s="129" t="s">
        <v>6</v>
      </c>
      <c r="G3" s="130">
        <v>1.6</v>
      </c>
      <c r="H3" s="131"/>
      <c r="I3" s="131">
        <v>78486.080000000002</v>
      </c>
      <c r="J3" s="127"/>
      <c r="K3" s="127"/>
      <c r="L3" s="127"/>
      <c r="M3" s="127"/>
      <c r="N3" s="127"/>
      <c r="O3" s="127"/>
      <c r="P3" s="127"/>
      <c r="Q3" s="127"/>
      <c r="R3" s="144"/>
    </row>
    <row r="4" spans="1:18" ht="18" hidden="1" x14ac:dyDescent="0.3">
      <c r="A4" s="143" t="s">
        <v>122</v>
      </c>
      <c r="B4" s="123"/>
      <c r="C4" s="132" t="s">
        <v>12</v>
      </c>
      <c r="D4" s="125"/>
      <c r="E4" s="125"/>
      <c r="F4" s="129" t="s">
        <v>5</v>
      </c>
      <c r="G4" s="130">
        <v>1</v>
      </c>
      <c r="H4" s="131"/>
      <c r="I4" s="131">
        <v>4905.38</v>
      </c>
      <c r="J4" s="127"/>
      <c r="K4" s="127"/>
      <c r="L4" s="127"/>
      <c r="M4" s="127"/>
      <c r="N4" s="127"/>
      <c r="O4" s="127"/>
      <c r="P4" s="127"/>
      <c r="Q4" s="127"/>
      <c r="R4" s="144"/>
    </row>
    <row r="5" spans="1:18" ht="36" hidden="1" x14ac:dyDescent="0.3">
      <c r="A5" s="143" t="s">
        <v>123</v>
      </c>
      <c r="B5" s="123"/>
      <c r="C5" s="132" t="s">
        <v>13</v>
      </c>
      <c r="D5" s="125"/>
      <c r="E5" s="125"/>
      <c r="F5" s="129" t="s">
        <v>6</v>
      </c>
      <c r="G5" s="130">
        <v>0.255</v>
      </c>
      <c r="H5" s="131"/>
      <c r="I5" s="131">
        <v>1250.8720000000001</v>
      </c>
      <c r="J5" s="127"/>
      <c r="K5" s="127"/>
      <c r="L5" s="127"/>
      <c r="M5" s="127"/>
      <c r="N5" s="127"/>
      <c r="O5" s="127"/>
      <c r="P5" s="127"/>
      <c r="Q5" s="127"/>
      <c r="R5" s="144"/>
    </row>
    <row r="6" spans="1:18" ht="54" x14ac:dyDescent="0.3">
      <c r="A6" s="143" t="s">
        <v>124</v>
      </c>
      <c r="B6" s="123" t="s">
        <v>30</v>
      </c>
      <c r="C6" s="133" t="s">
        <v>14</v>
      </c>
      <c r="D6" s="134" t="s">
        <v>125</v>
      </c>
      <c r="E6" s="134" t="s">
        <v>126</v>
      </c>
      <c r="F6" s="134" t="s">
        <v>7</v>
      </c>
      <c r="G6" s="135">
        <v>1</v>
      </c>
      <c r="H6" s="135"/>
      <c r="I6" s="135">
        <v>2785.09</v>
      </c>
      <c r="J6" s="127"/>
      <c r="K6" s="127"/>
      <c r="L6" s="127"/>
      <c r="M6" s="127"/>
      <c r="N6" s="127"/>
      <c r="O6" s="127"/>
      <c r="P6" s="127"/>
      <c r="Q6" s="127"/>
      <c r="R6" s="144"/>
    </row>
    <row r="7" spans="1:18" ht="18" hidden="1" x14ac:dyDescent="0.3">
      <c r="A7" s="143" t="s">
        <v>127</v>
      </c>
      <c r="B7" s="123"/>
      <c r="C7" s="132" t="s">
        <v>15</v>
      </c>
      <c r="D7" s="125"/>
      <c r="E7" s="125"/>
      <c r="F7" s="129" t="s">
        <v>7</v>
      </c>
      <c r="G7" s="130">
        <v>1.1000000000000001</v>
      </c>
      <c r="H7" s="130"/>
      <c r="I7" s="130">
        <v>3063.5990000000002</v>
      </c>
      <c r="J7" s="127"/>
      <c r="K7" s="127"/>
      <c r="L7" s="127"/>
      <c r="M7" s="127"/>
      <c r="N7" s="127"/>
      <c r="O7" s="127"/>
      <c r="P7" s="127"/>
      <c r="Q7" s="127"/>
      <c r="R7" s="144"/>
    </row>
    <row r="8" spans="1:18" ht="18" x14ac:dyDescent="0.3">
      <c r="A8" s="143" t="s">
        <v>128</v>
      </c>
      <c r="B8" s="123" t="s">
        <v>31</v>
      </c>
      <c r="C8" s="124" t="s">
        <v>16</v>
      </c>
      <c r="D8" s="125"/>
      <c r="E8" s="125" t="s">
        <v>38</v>
      </c>
      <c r="F8" s="125" t="s">
        <v>7</v>
      </c>
      <c r="G8" s="126">
        <v>1</v>
      </c>
      <c r="H8" s="126"/>
      <c r="I8" s="126">
        <v>47.77</v>
      </c>
      <c r="J8" s="127"/>
      <c r="K8" s="127"/>
      <c r="L8" s="127"/>
      <c r="M8" s="127"/>
      <c r="N8" s="127"/>
      <c r="O8" s="127"/>
      <c r="P8" s="127"/>
      <c r="Q8" s="127"/>
      <c r="R8" s="144"/>
    </row>
    <row r="9" spans="1:18" ht="36" hidden="1" x14ac:dyDescent="0.3">
      <c r="A9" s="143" t="s">
        <v>129</v>
      </c>
      <c r="B9" s="123"/>
      <c r="C9" s="132" t="s">
        <v>17</v>
      </c>
      <c r="D9" s="125"/>
      <c r="E9" s="125"/>
      <c r="F9" s="129" t="s">
        <v>6</v>
      </c>
      <c r="G9" s="130">
        <v>0.3</v>
      </c>
      <c r="H9" s="130"/>
      <c r="I9" s="130">
        <v>14.331</v>
      </c>
      <c r="J9" s="127"/>
      <c r="K9" s="127"/>
      <c r="L9" s="127"/>
      <c r="M9" s="127"/>
      <c r="N9" s="127"/>
      <c r="O9" s="127"/>
      <c r="P9" s="127"/>
      <c r="Q9" s="127"/>
      <c r="R9" s="144"/>
    </row>
    <row r="10" spans="1:18" ht="18" hidden="1" x14ac:dyDescent="0.3">
      <c r="A10" s="143" t="s">
        <v>130</v>
      </c>
      <c r="B10" s="123"/>
      <c r="C10" s="132" t="s">
        <v>18</v>
      </c>
      <c r="D10" s="125"/>
      <c r="E10" s="125"/>
      <c r="F10" s="129" t="s">
        <v>6</v>
      </c>
      <c r="G10" s="130">
        <v>0.2</v>
      </c>
      <c r="H10" s="130"/>
      <c r="I10" s="130">
        <v>9.5540000000000003</v>
      </c>
      <c r="J10" s="127"/>
      <c r="K10" s="127"/>
      <c r="L10" s="127"/>
      <c r="M10" s="127"/>
      <c r="N10" s="127"/>
      <c r="O10" s="127"/>
      <c r="P10" s="127"/>
      <c r="Q10" s="127"/>
      <c r="R10" s="144"/>
    </row>
    <row r="11" spans="1:18" ht="18" x14ac:dyDescent="0.3">
      <c r="A11" s="143" t="s">
        <v>131</v>
      </c>
      <c r="B11" s="123" t="s">
        <v>32</v>
      </c>
      <c r="C11" s="124" t="s">
        <v>19</v>
      </c>
      <c r="D11" s="125"/>
      <c r="E11" s="125" t="s">
        <v>39</v>
      </c>
      <c r="F11" s="125" t="s">
        <v>7</v>
      </c>
      <c r="G11" s="126">
        <v>1</v>
      </c>
      <c r="H11" s="126"/>
      <c r="I11" s="126">
        <v>72.94</v>
      </c>
      <c r="J11" s="127"/>
      <c r="K11" s="127"/>
      <c r="L11" s="127"/>
      <c r="M11" s="127"/>
      <c r="N11" s="127"/>
      <c r="O11" s="127"/>
      <c r="P11" s="127"/>
      <c r="Q11" s="127"/>
      <c r="R11" s="144"/>
    </row>
    <row r="12" spans="1:18" ht="18" hidden="1" x14ac:dyDescent="0.3">
      <c r="A12" s="143" t="s">
        <v>132</v>
      </c>
      <c r="B12" s="123"/>
      <c r="C12" s="132" t="s">
        <v>20</v>
      </c>
      <c r="D12" s="125"/>
      <c r="E12" s="125"/>
      <c r="F12" s="129" t="s">
        <v>6</v>
      </c>
      <c r="G12" s="130">
        <v>0.6</v>
      </c>
      <c r="H12" s="131"/>
      <c r="I12" s="131">
        <v>43.764000000000003</v>
      </c>
      <c r="J12" s="127"/>
      <c r="K12" s="127"/>
      <c r="L12" s="127"/>
      <c r="M12" s="127"/>
      <c r="N12" s="127"/>
      <c r="O12" s="127"/>
      <c r="P12" s="127"/>
      <c r="Q12" s="127"/>
      <c r="R12" s="144"/>
    </row>
    <row r="13" spans="1:18" ht="36" x14ac:dyDescent="0.3">
      <c r="A13" s="143" t="s">
        <v>133</v>
      </c>
      <c r="B13" s="136" t="s">
        <v>33</v>
      </c>
      <c r="C13" s="137" t="s">
        <v>21</v>
      </c>
      <c r="D13" s="138"/>
      <c r="E13" s="138" t="s">
        <v>40</v>
      </c>
      <c r="F13" s="138" t="s">
        <v>7</v>
      </c>
      <c r="G13" s="139">
        <v>1</v>
      </c>
      <c r="H13" s="139"/>
      <c r="I13" s="139">
        <v>46.62</v>
      </c>
      <c r="J13" s="127"/>
      <c r="K13" s="127"/>
      <c r="L13" s="127"/>
      <c r="M13" s="127"/>
      <c r="N13" s="127"/>
      <c r="O13" s="127"/>
      <c r="P13" s="127"/>
      <c r="Q13" s="127"/>
      <c r="R13" s="144"/>
    </row>
    <row r="14" spans="1:18" ht="18" hidden="1" x14ac:dyDescent="0.3">
      <c r="A14" s="143" t="s">
        <v>134</v>
      </c>
      <c r="B14" s="123"/>
      <c r="C14" s="132" t="s">
        <v>22</v>
      </c>
      <c r="D14" s="125"/>
      <c r="E14" s="125"/>
      <c r="F14" s="129" t="s">
        <v>41</v>
      </c>
      <c r="G14" s="130">
        <v>8</v>
      </c>
      <c r="H14" s="131"/>
      <c r="I14" s="131">
        <v>372.96</v>
      </c>
      <c r="J14" s="127"/>
      <c r="K14" s="127"/>
      <c r="L14" s="127"/>
      <c r="M14" s="127"/>
      <c r="N14" s="127"/>
      <c r="O14" s="127"/>
      <c r="P14" s="127"/>
      <c r="Q14" s="127"/>
      <c r="R14" s="144"/>
    </row>
    <row r="15" spans="1:18" ht="18" hidden="1" x14ac:dyDescent="0.3">
      <c r="A15" s="143" t="s">
        <v>135</v>
      </c>
      <c r="B15" s="123"/>
      <c r="C15" s="132" t="s">
        <v>23</v>
      </c>
      <c r="D15" s="125"/>
      <c r="E15" s="125"/>
      <c r="F15" s="129" t="s">
        <v>6</v>
      </c>
      <c r="G15" s="130">
        <v>1.8</v>
      </c>
      <c r="H15" s="131"/>
      <c r="I15" s="131">
        <v>3356.64</v>
      </c>
      <c r="J15" s="127"/>
      <c r="K15" s="127"/>
      <c r="L15" s="127"/>
      <c r="M15" s="127"/>
      <c r="N15" s="127"/>
      <c r="O15" s="127"/>
      <c r="P15" s="127"/>
      <c r="Q15" s="127"/>
      <c r="R15" s="144"/>
    </row>
    <row r="16" spans="1:18" ht="18" hidden="1" x14ac:dyDescent="0.3">
      <c r="A16" s="143" t="s">
        <v>136</v>
      </c>
      <c r="B16" s="123"/>
      <c r="C16" s="132" t="s">
        <v>24</v>
      </c>
      <c r="D16" s="125"/>
      <c r="E16" s="125"/>
      <c r="F16" s="129" t="s">
        <v>7</v>
      </c>
      <c r="G16" s="130">
        <v>1.1000000000000001</v>
      </c>
      <c r="H16" s="131"/>
      <c r="I16" s="131">
        <v>51.281999999999996</v>
      </c>
      <c r="J16" s="127"/>
      <c r="K16" s="127"/>
      <c r="L16" s="127"/>
      <c r="M16" s="127"/>
      <c r="N16" s="127"/>
      <c r="O16" s="127"/>
      <c r="P16" s="127"/>
      <c r="Q16" s="127"/>
      <c r="R16" s="144"/>
    </row>
    <row r="17" spans="1:18" ht="18" hidden="1" x14ac:dyDescent="0.3">
      <c r="A17" s="143" t="s">
        <v>137</v>
      </c>
      <c r="B17" s="123"/>
      <c r="C17" s="132" t="s">
        <v>12</v>
      </c>
      <c r="D17" s="125"/>
      <c r="E17" s="125"/>
      <c r="F17" s="129" t="s">
        <v>5</v>
      </c>
      <c r="G17" s="130">
        <v>1</v>
      </c>
      <c r="H17" s="131"/>
      <c r="I17" s="131">
        <v>46.62</v>
      </c>
      <c r="J17" s="127"/>
      <c r="K17" s="127"/>
      <c r="L17" s="127"/>
      <c r="M17" s="127"/>
      <c r="N17" s="127"/>
      <c r="O17" s="127"/>
      <c r="P17" s="127"/>
      <c r="Q17" s="127"/>
      <c r="R17" s="144"/>
    </row>
    <row r="18" spans="1:18" ht="36" x14ac:dyDescent="0.3">
      <c r="A18" s="143" t="s">
        <v>138</v>
      </c>
      <c r="B18" s="136" t="s">
        <v>34</v>
      </c>
      <c r="C18" s="137" t="s">
        <v>25</v>
      </c>
      <c r="D18" s="138"/>
      <c r="E18" s="138" t="s">
        <v>42</v>
      </c>
      <c r="F18" s="138" t="s">
        <v>7</v>
      </c>
      <c r="G18" s="139">
        <v>1</v>
      </c>
      <c r="H18" s="139"/>
      <c r="I18" s="139">
        <v>122.25</v>
      </c>
      <c r="J18" s="127"/>
      <c r="K18" s="127"/>
      <c r="L18" s="127"/>
      <c r="M18" s="127"/>
      <c r="N18" s="127"/>
      <c r="O18" s="127"/>
      <c r="P18" s="127"/>
      <c r="Q18" s="127"/>
      <c r="R18" s="144"/>
    </row>
    <row r="19" spans="1:18" ht="18" hidden="1" x14ac:dyDescent="0.3">
      <c r="A19" s="143" t="s">
        <v>139</v>
      </c>
      <c r="B19" s="123"/>
      <c r="C19" s="132" t="s">
        <v>22</v>
      </c>
      <c r="D19" s="125"/>
      <c r="E19" s="125"/>
      <c r="F19" s="129" t="s">
        <v>41</v>
      </c>
      <c r="G19" s="130">
        <v>8</v>
      </c>
      <c r="H19" s="131"/>
      <c r="I19" s="131">
        <v>978</v>
      </c>
      <c r="J19" s="127"/>
      <c r="K19" s="127"/>
      <c r="L19" s="127"/>
      <c r="M19" s="127"/>
      <c r="N19" s="127"/>
      <c r="O19" s="127"/>
      <c r="P19" s="127"/>
      <c r="Q19" s="127"/>
      <c r="R19" s="144"/>
    </row>
    <row r="20" spans="1:18" ht="18" hidden="1" x14ac:dyDescent="0.3">
      <c r="A20" s="143" t="s">
        <v>140</v>
      </c>
      <c r="B20" s="123"/>
      <c r="C20" s="132" t="s">
        <v>23</v>
      </c>
      <c r="D20" s="125"/>
      <c r="E20" s="125"/>
      <c r="F20" s="129" t="s">
        <v>6</v>
      </c>
      <c r="G20" s="130">
        <v>1.8</v>
      </c>
      <c r="H20" s="131"/>
      <c r="I20" s="131">
        <v>13203</v>
      </c>
      <c r="J20" s="127"/>
      <c r="K20" s="127"/>
      <c r="L20" s="127"/>
      <c r="M20" s="127"/>
      <c r="N20" s="127"/>
      <c r="O20" s="127"/>
      <c r="P20" s="127"/>
      <c r="Q20" s="127"/>
      <c r="R20" s="144"/>
    </row>
    <row r="21" spans="1:18" ht="18" hidden="1" x14ac:dyDescent="0.3">
      <c r="A21" s="143" t="s">
        <v>141</v>
      </c>
      <c r="B21" s="123"/>
      <c r="C21" s="132" t="s">
        <v>24</v>
      </c>
      <c r="D21" s="125"/>
      <c r="E21" s="125"/>
      <c r="F21" s="129" t="s">
        <v>7</v>
      </c>
      <c r="G21" s="130">
        <v>1.1000000000000001</v>
      </c>
      <c r="H21" s="131"/>
      <c r="I21" s="131">
        <v>134.47499999999999</v>
      </c>
      <c r="J21" s="127"/>
      <c r="K21" s="127"/>
      <c r="L21" s="127"/>
      <c r="M21" s="127"/>
      <c r="N21" s="127"/>
      <c r="O21" s="127"/>
      <c r="P21" s="127"/>
      <c r="Q21" s="127"/>
      <c r="R21" s="144"/>
    </row>
    <row r="22" spans="1:18" ht="18" hidden="1" x14ac:dyDescent="0.3">
      <c r="A22" s="143" t="s">
        <v>142</v>
      </c>
      <c r="B22" s="123"/>
      <c r="C22" s="132" t="s">
        <v>12</v>
      </c>
      <c r="D22" s="125"/>
      <c r="E22" s="125"/>
      <c r="F22" s="129" t="s">
        <v>5</v>
      </c>
      <c r="G22" s="130">
        <v>1</v>
      </c>
      <c r="H22" s="131"/>
      <c r="I22" s="131">
        <v>122.25</v>
      </c>
      <c r="J22" s="127"/>
      <c r="K22" s="127"/>
      <c r="L22" s="127"/>
      <c r="M22" s="127"/>
      <c r="N22" s="127"/>
      <c r="O22" s="127"/>
      <c r="P22" s="127"/>
      <c r="Q22" s="127"/>
      <c r="R22" s="144"/>
    </row>
    <row r="23" spans="1:18" ht="36" x14ac:dyDescent="0.3">
      <c r="A23" s="143" t="s">
        <v>143</v>
      </c>
      <c r="B23" s="136" t="s">
        <v>35</v>
      </c>
      <c r="C23" s="137" t="s">
        <v>26</v>
      </c>
      <c r="D23" s="138"/>
      <c r="E23" s="138" t="s">
        <v>43</v>
      </c>
      <c r="F23" s="138" t="s">
        <v>7</v>
      </c>
      <c r="G23" s="139">
        <v>1</v>
      </c>
      <c r="H23" s="139"/>
      <c r="I23" s="139">
        <v>5553.92</v>
      </c>
      <c r="J23" s="127"/>
      <c r="K23" s="127"/>
      <c r="L23" s="127"/>
      <c r="M23" s="127"/>
      <c r="N23" s="127"/>
      <c r="O23" s="127"/>
      <c r="P23" s="127"/>
      <c r="Q23" s="127"/>
      <c r="R23" s="144"/>
    </row>
    <row r="24" spans="1:18" ht="18" hidden="1" x14ac:dyDescent="0.3">
      <c r="A24" s="143" t="s">
        <v>144</v>
      </c>
      <c r="B24" s="123"/>
      <c r="C24" s="132" t="s">
        <v>22</v>
      </c>
      <c r="D24" s="125"/>
      <c r="E24" s="125"/>
      <c r="F24" s="129" t="s">
        <v>41</v>
      </c>
      <c r="G24" s="130">
        <v>8</v>
      </c>
      <c r="H24" s="131"/>
      <c r="I24" s="131">
        <v>44431.360000000001</v>
      </c>
      <c r="J24" s="127"/>
      <c r="K24" s="127"/>
      <c r="L24" s="127"/>
      <c r="M24" s="127"/>
      <c r="N24" s="127"/>
      <c r="O24" s="127"/>
      <c r="P24" s="127"/>
      <c r="Q24" s="127"/>
      <c r="R24" s="144"/>
    </row>
    <row r="25" spans="1:18" ht="18" hidden="1" x14ac:dyDescent="0.3">
      <c r="A25" s="143" t="s">
        <v>145</v>
      </c>
      <c r="B25" s="123"/>
      <c r="C25" s="132" t="s">
        <v>23</v>
      </c>
      <c r="D25" s="125"/>
      <c r="E25" s="125"/>
      <c r="F25" s="129" t="s">
        <v>6</v>
      </c>
      <c r="G25" s="130">
        <v>1.8</v>
      </c>
      <c r="H25" s="131">
        <f>I25/G25/I23</f>
        <v>65</v>
      </c>
      <c r="I25" s="131">
        <v>649808.64000000001</v>
      </c>
      <c r="J25" s="127"/>
      <c r="K25" s="127"/>
      <c r="L25" s="127"/>
      <c r="M25" s="127"/>
      <c r="N25" s="127"/>
      <c r="O25" s="127"/>
      <c r="P25" s="127"/>
      <c r="Q25" s="127"/>
      <c r="R25" s="144"/>
    </row>
    <row r="26" spans="1:18" ht="18" hidden="1" x14ac:dyDescent="0.3">
      <c r="A26" s="143" t="s">
        <v>146</v>
      </c>
      <c r="B26" s="123"/>
      <c r="C26" s="132" t="s">
        <v>24</v>
      </c>
      <c r="D26" s="125"/>
      <c r="E26" s="125"/>
      <c r="F26" s="129" t="s">
        <v>7</v>
      </c>
      <c r="G26" s="130">
        <v>1.1000000000000001</v>
      </c>
      <c r="H26" s="131"/>
      <c r="I26" s="131">
        <v>6109.3119999999999</v>
      </c>
      <c r="J26" s="127"/>
      <c r="K26" s="127"/>
      <c r="L26" s="127"/>
      <c r="M26" s="127"/>
      <c r="N26" s="127"/>
      <c r="O26" s="127"/>
      <c r="P26" s="127"/>
      <c r="Q26" s="127"/>
      <c r="R26" s="144"/>
    </row>
    <row r="27" spans="1:18" ht="18" hidden="1" x14ac:dyDescent="0.3">
      <c r="A27" s="143" t="s">
        <v>147</v>
      </c>
      <c r="B27" s="123"/>
      <c r="C27" s="132" t="s">
        <v>12</v>
      </c>
      <c r="D27" s="125"/>
      <c r="E27" s="125"/>
      <c r="F27" s="129" t="s">
        <v>5</v>
      </c>
      <c r="G27" s="130">
        <v>1</v>
      </c>
      <c r="H27" s="131"/>
      <c r="I27" s="131">
        <v>5553.92</v>
      </c>
      <c r="J27" s="127"/>
      <c r="K27" s="127"/>
      <c r="L27" s="127"/>
      <c r="M27" s="127"/>
      <c r="N27" s="127"/>
      <c r="O27" s="127"/>
      <c r="P27" s="127"/>
      <c r="Q27" s="127"/>
      <c r="R27" s="144"/>
    </row>
    <row r="28" spans="1:18" ht="36" x14ac:dyDescent="0.3">
      <c r="A28" s="143" t="s">
        <v>148</v>
      </c>
      <c r="B28" s="136" t="s">
        <v>35</v>
      </c>
      <c r="C28" s="137" t="s">
        <v>26</v>
      </c>
      <c r="D28" s="138"/>
      <c r="E28" s="138" t="s">
        <v>44</v>
      </c>
      <c r="F28" s="138" t="s">
        <v>7</v>
      </c>
      <c r="G28" s="139">
        <v>1</v>
      </c>
      <c r="H28" s="139"/>
      <c r="I28" s="139">
        <v>468.22</v>
      </c>
      <c r="J28" s="127"/>
      <c r="K28" s="127"/>
      <c r="L28" s="127"/>
      <c r="M28" s="127"/>
      <c r="N28" s="127"/>
      <c r="O28" s="127"/>
      <c r="P28" s="127"/>
      <c r="Q28" s="127"/>
      <c r="R28" s="144"/>
    </row>
    <row r="29" spans="1:18" ht="18" hidden="1" x14ac:dyDescent="0.3">
      <c r="A29" s="143" t="s">
        <v>149</v>
      </c>
      <c r="B29" s="123"/>
      <c r="C29" s="132" t="s">
        <v>8</v>
      </c>
      <c r="D29" s="125"/>
      <c r="E29" s="125"/>
      <c r="F29" s="129" t="s">
        <v>6</v>
      </c>
      <c r="G29" s="130">
        <v>0.255</v>
      </c>
      <c r="H29" s="130"/>
      <c r="I29" s="130">
        <v>119.396</v>
      </c>
      <c r="J29" s="127"/>
      <c r="K29" s="127"/>
      <c r="L29" s="127"/>
      <c r="M29" s="127"/>
      <c r="N29" s="127"/>
      <c r="O29" s="127"/>
      <c r="P29" s="127"/>
      <c r="Q29" s="127"/>
      <c r="R29" s="144"/>
    </row>
    <row r="30" spans="1:18" ht="18" hidden="1" x14ac:dyDescent="0.3">
      <c r="A30" s="143" t="s">
        <v>150</v>
      </c>
      <c r="B30" s="123"/>
      <c r="C30" s="132" t="s">
        <v>12</v>
      </c>
      <c r="D30" s="125"/>
      <c r="E30" s="125"/>
      <c r="F30" s="129" t="s">
        <v>5</v>
      </c>
      <c r="G30" s="130">
        <v>1</v>
      </c>
      <c r="H30" s="131"/>
      <c r="I30" s="131">
        <v>468.22</v>
      </c>
      <c r="J30" s="127"/>
      <c r="K30" s="127"/>
      <c r="L30" s="127"/>
      <c r="M30" s="127"/>
      <c r="N30" s="127"/>
      <c r="O30" s="127"/>
      <c r="P30" s="127"/>
      <c r="Q30" s="127"/>
      <c r="R30" s="144"/>
    </row>
    <row r="31" spans="1:18" ht="18" hidden="1" x14ac:dyDescent="0.3">
      <c r="A31" s="143" t="s">
        <v>151</v>
      </c>
      <c r="B31" s="123"/>
      <c r="C31" s="132" t="s">
        <v>24</v>
      </c>
      <c r="D31" s="125"/>
      <c r="E31" s="125"/>
      <c r="F31" s="129" t="s">
        <v>7</v>
      </c>
      <c r="G31" s="130">
        <v>1.1000000000000001</v>
      </c>
      <c r="H31" s="131"/>
      <c r="I31" s="131">
        <v>515.04200000000003</v>
      </c>
      <c r="J31" s="127"/>
      <c r="K31" s="127"/>
      <c r="L31" s="127"/>
      <c r="M31" s="127"/>
      <c r="N31" s="127"/>
      <c r="O31" s="127"/>
      <c r="P31" s="127"/>
      <c r="Q31" s="127"/>
      <c r="R31" s="144"/>
    </row>
    <row r="32" spans="1:18" ht="18" hidden="1" x14ac:dyDescent="0.3">
      <c r="A32" s="143" t="s">
        <v>152</v>
      </c>
      <c r="B32" s="123"/>
      <c r="C32" s="132" t="s">
        <v>23</v>
      </c>
      <c r="D32" s="125"/>
      <c r="E32" s="125"/>
      <c r="F32" s="129" t="s">
        <v>6</v>
      </c>
      <c r="G32" s="130">
        <v>1.8</v>
      </c>
      <c r="H32" s="131"/>
      <c r="I32" s="131">
        <v>57310.127999999997</v>
      </c>
      <c r="J32" s="127"/>
      <c r="K32" s="127"/>
      <c r="L32" s="127"/>
      <c r="M32" s="127"/>
      <c r="N32" s="127"/>
      <c r="O32" s="127"/>
      <c r="P32" s="127"/>
      <c r="Q32" s="127"/>
      <c r="R32" s="144"/>
    </row>
    <row r="33" spans="1:18" ht="18" hidden="1" x14ac:dyDescent="0.3">
      <c r="A33" s="143" t="s">
        <v>153</v>
      </c>
      <c r="B33" s="123"/>
      <c r="C33" s="132" t="s">
        <v>22</v>
      </c>
      <c r="D33" s="125"/>
      <c r="E33" s="125"/>
      <c r="F33" s="129" t="s">
        <v>41</v>
      </c>
      <c r="G33" s="130">
        <v>8</v>
      </c>
      <c r="H33" s="131"/>
      <c r="I33" s="131">
        <v>3745.76</v>
      </c>
      <c r="J33" s="127"/>
      <c r="K33" s="127"/>
      <c r="L33" s="127"/>
      <c r="M33" s="127"/>
      <c r="N33" s="127"/>
      <c r="O33" s="127"/>
      <c r="P33" s="127"/>
      <c r="Q33" s="127"/>
      <c r="R33" s="144"/>
    </row>
    <row r="34" spans="1:18" ht="36" x14ac:dyDescent="0.3">
      <c r="A34" s="143" t="s">
        <v>154</v>
      </c>
      <c r="B34" s="136" t="s">
        <v>35</v>
      </c>
      <c r="C34" s="137" t="s">
        <v>26</v>
      </c>
      <c r="D34" s="138"/>
      <c r="E34" s="138" t="s">
        <v>45</v>
      </c>
      <c r="F34" s="138" t="s">
        <v>7</v>
      </c>
      <c r="G34" s="139">
        <v>1</v>
      </c>
      <c r="H34" s="139"/>
      <c r="I34" s="139">
        <v>19.420000000000002</v>
      </c>
      <c r="J34" s="127"/>
      <c r="K34" s="127"/>
      <c r="L34" s="127"/>
      <c r="M34" s="127"/>
      <c r="N34" s="127"/>
      <c r="O34" s="127"/>
      <c r="P34" s="127"/>
      <c r="Q34" s="127"/>
      <c r="R34" s="144"/>
    </row>
    <row r="35" spans="1:18" ht="18" hidden="1" x14ac:dyDescent="0.3">
      <c r="A35" s="143" t="s">
        <v>155</v>
      </c>
      <c r="B35" s="123"/>
      <c r="C35" s="132" t="s">
        <v>22</v>
      </c>
      <c r="D35" s="125"/>
      <c r="E35" s="125"/>
      <c r="F35" s="129" t="s">
        <v>41</v>
      </c>
      <c r="G35" s="130">
        <v>8</v>
      </c>
      <c r="H35" s="131"/>
      <c r="I35" s="131">
        <v>155.36000000000001</v>
      </c>
      <c r="J35" s="127"/>
      <c r="K35" s="127"/>
      <c r="L35" s="127"/>
      <c r="M35" s="127"/>
      <c r="N35" s="127"/>
      <c r="O35" s="127"/>
      <c r="P35" s="127"/>
      <c r="Q35" s="127"/>
      <c r="R35" s="144"/>
    </row>
    <row r="36" spans="1:18" ht="18" hidden="1" x14ac:dyDescent="0.3">
      <c r="A36" s="143" t="s">
        <v>156</v>
      </c>
      <c r="B36" s="123"/>
      <c r="C36" s="132" t="s">
        <v>27</v>
      </c>
      <c r="D36" s="125"/>
      <c r="E36" s="125"/>
      <c r="F36" s="129" t="s">
        <v>6</v>
      </c>
      <c r="G36" s="130">
        <v>1.8</v>
      </c>
      <c r="H36" s="131"/>
      <c r="I36" s="131">
        <v>2446.92</v>
      </c>
      <c r="J36" s="127"/>
      <c r="K36" s="127"/>
      <c r="L36" s="127"/>
      <c r="M36" s="127"/>
      <c r="N36" s="127"/>
      <c r="O36" s="127"/>
      <c r="P36" s="127"/>
      <c r="Q36" s="127"/>
      <c r="R36" s="144"/>
    </row>
    <row r="37" spans="1:18" ht="18" hidden="1" x14ac:dyDescent="0.3">
      <c r="A37" s="143" t="s">
        <v>157</v>
      </c>
      <c r="B37" s="123"/>
      <c r="C37" s="132" t="s">
        <v>28</v>
      </c>
      <c r="D37" s="125"/>
      <c r="E37" s="125"/>
      <c r="F37" s="129" t="s">
        <v>7</v>
      </c>
      <c r="G37" s="130">
        <v>1.1000000000000001</v>
      </c>
      <c r="H37" s="131"/>
      <c r="I37" s="131">
        <v>21.361999999999998</v>
      </c>
      <c r="J37" s="127"/>
      <c r="K37" s="127"/>
      <c r="L37" s="127"/>
      <c r="M37" s="127"/>
      <c r="N37" s="127"/>
      <c r="O37" s="127"/>
      <c r="P37" s="127"/>
      <c r="Q37" s="127"/>
      <c r="R37" s="144"/>
    </row>
    <row r="38" spans="1:18" ht="18" hidden="1" x14ac:dyDescent="0.3">
      <c r="A38" s="143" t="s">
        <v>158</v>
      </c>
      <c r="B38" s="123"/>
      <c r="C38" s="132" t="s">
        <v>12</v>
      </c>
      <c r="D38" s="125"/>
      <c r="E38" s="125"/>
      <c r="F38" s="129" t="s">
        <v>5</v>
      </c>
      <c r="G38" s="130">
        <v>1</v>
      </c>
      <c r="H38" s="131"/>
      <c r="I38" s="131">
        <v>19.420000000000002</v>
      </c>
      <c r="J38" s="127"/>
      <c r="K38" s="127"/>
      <c r="L38" s="127"/>
      <c r="M38" s="127"/>
      <c r="N38" s="127"/>
      <c r="O38" s="127"/>
      <c r="P38" s="127"/>
      <c r="Q38" s="127"/>
      <c r="R38" s="144"/>
    </row>
    <row r="39" spans="1:18" ht="36" x14ac:dyDescent="0.3">
      <c r="A39" s="143" t="s">
        <v>159</v>
      </c>
      <c r="B39" s="136" t="s">
        <v>35</v>
      </c>
      <c r="C39" s="137" t="s">
        <v>26</v>
      </c>
      <c r="D39" s="138"/>
      <c r="E39" s="138" t="s">
        <v>46</v>
      </c>
      <c r="F39" s="138" t="s">
        <v>7</v>
      </c>
      <c r="G39" s="139">
        <v>1</v>
      </c>
      <c r="H39" s="139"/>
      <c r="I39" s="139">
        <v>101.29</v>
      </c>
      <c r="J39" s="127"/>
      <c r="K39" s="127"/>
      <c r="L39" s="127"/>
      <c r="M39" s="127"/>
      <c r="N39" s="127"/>
      <c r="O39" s="127"/>
      <c r="P39" s="127"/>
      <c r="Q39" s="127"/>
      <c r="R39" s="144"/>
    </row>
    <row r="40" spans="1:18" ht="18" hidden="1" x14ac:dyDescent="0.3">
      <c r="A40" s="143" t="s">
        <v>160</v>
      </c>
      <c r="B40" s="123"/>
      <c r="C40" s="132" t="s">
        <v>12</v>
      </c>
      <c r="D40" s="125"/>
      <c r="E40" s="125"/>
      <c r="F40" s="129" t="s">
        <v>5</v>
      </c>
      <c r="G40" s="130">
        <v>1</v>
      </c>
      <c r="H40" s="131"/>
      <c r="I40" s="131">
        <v>101.29</v>
      </c>
      <c r="J40" s="127"/>
      <c r="K40" s="127"/>
      <c r="L40" s="127"/>
      <c r="M40" s="127"/>
      <c r="N40" s="127"/>
      <c r="O40" s="127"/>
      <c r="P40" s="127"/>
      <c r="Q40" s="127"/>
      <c r="R40" s="144"/>
    </row>
    <row r="41" spans="1:18" ht="18" hidden="1" x14ac:dyDescent="0.3">
      <c r="A41" s="143" t="s">
        <v>161</v>
      </c>
      <c r="B41" s="123"/>
      <c r="C41" s="132" t="s">
        <v>28</v>
      </c>
      <c r="D41" s="125"/>
      <c r="E41" s="125"/>
      <c r="F41" s="129" t="s">
        <v>7</v>
      </c>
      <c r="G41" s="130">
        <v>1.1000000000000001</v>
      </c>
      <c r="H41" s="131"/>
      <c r="I41" s="131">
        <v>111.419</v>
      </c>
      <c r="J41" s="127"/>
      <c r="K41" s="127"/>
      <c r="L41" s="127"/>
      <c r="M41" s="127"/>
      <c r="N41" s="127"/>
      <c r="O41" s="127"/>
      <c r="P41" s="127"/>
      <c r="Q41" s="127"/>
      <c r="R41" s="144"/>
    </row>
    <row r="42" spans="1:18" ht="18" hidden="1" x14ac:dyDescent="0.3">
      <c r="A42" s="143" t="s">
        <v>162</v>
      </c>
      <c r="B42" s="123"/>
      <c r="C42" s="132" t="s">
        <v>27</v>
      </c>
      <c r="D42" s="125"/>
      <c r="E42" s="125"/>
      <c r="F42" s="129" t="s">
        <v>6</v>
      </c>
      <c r="G42" s="130">
        <v>1.8</v>
      </c>
      <c r="H42" s="131"/>
      <c r="I42" s="131">
        <v>14585.76</v>
      </c>
      <c r="J42" s="127"/>
      <c r="K42" s="127"/>
      <c r="L42" s="127"/>
      <c r="M42" s="127"/>
      <c r="N42" s="127"/>
      <c r="O42" s="127"/>
      <c r="P42" s="127"/>
      <c r="Q42" s="127"/>
      <c r="R42" s="144"/>
    </row>
    <row r="43" spans="1:18" ht="18" hidden="1" x14ac:dyDescent="0.3">
      <c r="A43" s="143" t="s">
        <v>163</v>
      </c>
      <c r="B43" s="123"/>
      <c r="C43" s="132" t="s">
        <v>22</v>
      </c>
      <c r="D43" s="125"/>
      <c r="E43" s="125"/>
      <c r="F43" s="129" t="s">
        <v>41</v>
      </c>
      <c r="G43" s="130">
        <v>8</v>
      </c>
      <c r="H43" s="131"/>
      <c r="I43" s="131">
        <v>810.32</v>
      </c>
      <c r="J43" s="127"/>
      <c r="K43" s="127"/>
      <c r="L43" s="127"/>
      <c r="M43" s="127"/>
      <c r="N43" s="127"/>
      <c r="O43" s="127"/>
      <c r="P43" s="127"/>
      <c r="Q43" s="127"/>
      <c r="R43" s="144"/>
    </row>
    <row r="44" spans="1:18" ht="17.100000000000001" customHeight="1" x14ac:dyDescent="0.3">
      <c r="A44" s="143" t="s">
        <v>164</v>
      </c>
      <c r="B44" s="123" t="s">
        <v>165</v>
      </c>
      <c r="C44" s="142" t="s">
        <v>166</v>
      </c>
      <c r="D44" s="142"/>
      <c r="E44" s="142"/>
      <c r="F44" s="142"/>
      <c r="G44" s="142"/>
      <c r="H44" s="142"/>
      <c r="I44" s="142"/>
      <c r="J44" s="127"/>
      <c r="K44" s="127"/>
      <c r="L44" s="127"/>
      <c r="M44" s="127"/>
      <c r="N44" s="127"/>
      <c r="O44" s="127"/>
      <c r="P44" s="127"/>
      <c r="Q44" s="127"/>
      <c r="R44" s="144"/>
    </row>
    <row r="45" spans="1:18" ht="54" x14ac:dyDescent="0.3">
      <c r="A45" s="143" t="s">
        <v>167</v>
      </c>
      <c r="B45" s="123" t="s">
        <v>168</v>
      </c>
      <c r="C45" s="124" t="s">
        <v>169</v>
      </c>
      <c r="D45" s="125"/>
      <c r="E45" s="125" t="s">
        <v>170</v>
      </c>
      <c r="F45" s="125" t="s">
        <v>7</v>
      </c>
      <c r="G45" s="126">
        <v>1</v>
      </c>
      <c r="H45" s="126"/>
      <c r="I45" s="126">
        <v>441.33</v>
      </c>
      <c r="J45" s="127"/>
      <c r="K45" s="127"/>
      <c r="L45" s="127"/>
      <c r="M45" s="127"/>
      <c r="N45" s="127"/>
      <c r="O45" s="127"/>
      <c r="P45" s="127"/>
      <c r="Q45" s="127"/>
      <c r="R45" s="144"/>
    </row>
    <row r="46" spans="1:18" ht="18" hidden="1" x14ac:dyDescent="0.3">
      <c r="A46" s="143" t="s">
        <v>171</v>
      </c>
      <c r="B46" s="123"/>
      <c r="C46" s="132" t="s">
        <v>172</v>
      </c>
      <c r="D46" s="125"/>
      <c r="E46" s="125"/>
      <c r="F46" s="129" t="s">
        <v>6</v>
      </c>
      <c r="G46" s="130">
        <v>0.25</v>
      </c>
      <c r="H46" s="130"/>
      <c r="I46" s="130">
        <v>110.333</v>
      </c>
      <c r="J46" s="127"/>
      <c r="K46" s="127"/>
      <c r="L46" s="127"/>
      <c r="M46" s="127"/>
      <c r="N46" s="127"/>
      <c r="O46" s="127"/>
      <c r="P46" s="127"/>
      <c r="Q46" s="127"/>
      <c r="R46" s="144"/>
    </row>
    <row r="47" spans="1:18" ht="18" hidden="1" x14ac:dyDescent="0.3">
      <c r="A47" s="143" t="s">
        <v>173</v>
      </c>
      <c r="B47" s="123"/>
      <c r="C47" s="132" t="s">
        <v>174</v>
      </c>
      <c r="D47" s="125"/>
      <c r="E47" s="125" t="s">
        <v>175</v>
      </c>
      <c r="F47" s="129" t="s">
        <v>6</v>
      </c>
      <c r="G47" s="130">
        <v>2</v>
      </c>
      <c r="H47" s="130"/>
      <c r="I47" s="130">
        <v>882.66</v>
      </c>
      <c r="J47" s="127"/>
      <c r="K47" s="127"/>
      <c r="L47" s="127"/>
      <c r="M47" s="127"/>
      <c r="N47" s="127"/>
      <c r="O47" s="127"/>
      <c r="P47" s="127"/>
      <c r="Q47" s="127"/>
      <c r="R47" s="144"/>
    </row>
    <row r="48" spans="1:18" ht="18" hidden="1" x14ac:dyDescent="0.3">
      <c r="A48" s="143" t="s">
        <v>176</v>
      </c>
      <c r="B48" s="123"/>
      <c r="C48" s="132" t="s">
        <v>177</v>
      </c>
      <c r="D48" s="125"/>
      <c r="E48" s="125"/>
      <c r="F48" s="129" t="s">
        <v>5</v>
      </c>
      <c r="G48" s="130">
        <v>1.05</v>
      </c>
      <c r="H48" s="131"/>
      <c r="I48" s="131">
        <v>463.39699999999999</v>
      </c>
      <c r="J48" s="127"/>
      <c r="K48" s="127"/>
      <c r="L48" s="127"/>
      <c r="M48" s="127"/>
      <c r="N48" s="127"/>
      <c r="O48" s="127"/>
      <c r="P48" s="127"/>
      <c r="Q48" s="127"/>
      <c r="R48" s="144"/>
    </row>
    <row r="49" spans="1:18" ht="36" x14ac:dyDescent="0.3">
      <c r="A49" s="143" t="s">
        <v>178</v>
      </c>
      <c r="B49" s="140" t="s">
        <v>179</v>
      </c>
      <c r="C49" s="137" t="s">
        <v>102</v>
      </c>
      <c r="D49" s="138" t="s">
        <v>180</v>
      </c>
      <c r="E49" s="138" t="s">
        <v>104</v>
      </c>
      <c r="F49" s="138" t="s">
        <v>7</v>
      </c>
      <c r="G49" s="139">
        <v>1</v>
      </c>
      <c r="H49" s="139"/>
      <c r="I49" s="139">
        <v>2518.27</v>
      </c>
      <c r="J49" s="127"/>
      <c r="K49" s="127"/>
      <c r="L49" s="127"/>
      <c r="M49" s="127"/>
      <c r="N49" s="127"/>
      <c r="O49" s="127"/>
      <c r="P49" s="127"/>
      <c r="Q49" s="127"/>
      <c r="R49" s="144"/>
    </row>
    <row r="50" spans="1:18" ht="72" hidden="1" x14ac:dyDescent="0.3">
      <c r="A50" s="143" t="s">
        <v>181</v>
      </c>
      <c r="B50" s="123"/>
      <c r="C50" s="128" t="s">
        <v>103</v>
      </c>
      <c r="D50" s="125"/>
      <c r="E50" s="125" t="s">
        <v>182</v>
      </c>
      <c r="F50" s="129" t="s">
        <v>105</v>
      </c>
      <c r="G50" s="130">
        <v>1.03</v>
      </c>
      <c r="H50" s="131"/>
      <c r="I50" s="131">
        <v>129.691</v>
      </c>
      <c r="J50" s="127"/>
      <c r="K50" s="127"/>
      <c r="L50" s="127"/>
      <c r="M50" s="127"/>
      <c r="N50" s="127"/>
      <c r="O50" s="127"/>
      <c r="P50" s="127"/>
      <c r="Q50" s="127"/>
      <c r="R50" s="144"/>
    </row>
    <row r="51" spans="1:18" ht="72" x14ac:dyDescent="0.3">
      <c r="A51" s="143" t="s">
        <v>183</v>
      </c>
      <c r="B51" s="123" t="s">
        <v>184</v>
      </c>
      <c r="C51" s="124" t="s">
        <v>185</v>
      </c>
      <c r="D51" s="125"/>
      <c r="E51" s="125" t="s">
        <v>186</v>
      </c>
      <c r="F51" s="125" t="s">
        <v>7</v>
      </c>
      <c r="G51" s="126">
        <v>1</v>
      </c>
      <c r="H51" s="126"/>
      <c r="I51" s="126">
        <v>46.62</v>
      </c>
      <c r="J51" s="127"/>
      <c r="K51" s="127"/>
      <c r="L51" s="127"/>
      <c r="M51" s="127"/>
      <c r="N51" s="127"/>
      <c r="O51" s="127"/>
      <c r="P51" s="127"/>
      <c r="Q51" s="127"/>
      <c r="R51" s="144"/>
    </row>
    <row r="52" spans="1:18" ht="36" hidden="1" x14ac:dyDescent="0.3">
      <c r="A52" s="143" t="s">
        <v>187</v>
      </c>
      <c r="B52" s="123"/>
      <c r="C52" s="128" t="s">
        <v>188</v>
      </c>
      <c r="D52" s="125"/>
      <c r="E52" s="125"/>
      <c r="F52" s="129" t="s">
        <v>105</v>
      </c>
      <c r="G52" s="130">
        <v>0.10299999999999999</v>
      </c>
      <c r="H52" s="131"/>
      <c r="I52" s="131">
        <v>4.8019999999999996</v>
      </c>
      <c r="J52" s="127"/>
      <c r="K52" s="127"/>
      <c r="L52" s="127"/>
      <c r="M52" s="127"/>
      <c r="N52" s="127"/>
      <c r="O52" s="127"/>
      <c r="P52" s="127"/>
      <c r="Q52" s="127"/>
      <c r="R52" s="144"/>
    </row>
    <row r="53" spans="1:18" ht="17.100000000000001" customHeight="1" x14ac:dyDescent="0.3">
      <c r="A53" s="143" t="s">
        <v>189</v>
      </c>
      <c r="B53" s="123" t="s">
        <v>190</v>
      </c>
      <c r="C53" s="142" t="s">
        <v>191</v>
      </c>
      <c r="D53" s="142"/>
      <c r="E53" s="142"/>
      <c r="F53" s="142"/>
      <c r="G53" s="142"/>
      <c r="H53" s="142"/>
      <c r="I53" s="142"/>
      <c r="J53" s="127"/>
      <c r="K53" s="127"/>
      <c r="L53" s="127"/>
      <c r="M53" s="127"/>
      <c r="N53" s="127"/>
      <c r="O53" s="127"/>
      <c r="P53" s="127"/>
      <c r="Q53" s="127"/>
      <c r="R53" s="144"/>
    </row>
    <row r="54" spans="1:18" ht="54" x14ac:dyDescent="0.3">
      <c r="A54" s="143" t="s">
        <v>192</v>
      </c>
      <c r="B54" s="123" t="s">
        <v>193</v>
      </c>
      <c r="C54" s="124" t="s">
        <v>194</v>
      </c>
      <c r="D54" s="125"/>
      <c r="E54" s="125" t="s">
        <v>195</v>
      </c>
      <c r="F54" s="125" t="s">
        <v>7</v>
      </c>
      <c r="G54" s="126">
        <v>1</v>
      </c>
      <c r="H54" s="126"/>
      <c r="I54" s="126">
        <v>83.73</v>
      </c>
      <c r="J54" s="127"/>
      <c r="K54" s="127"/>
      <c r="L54" s="127"/>
      <c r="M54" s="127"/>
      <c r="N54" s="127"/>
      <c r="O54" s="127"/>
      <c r="P54" s="127"/>
      <c r="Q54" s="127"/>
      <c r="R54" s="144"/>
    </row>
    <row r="55" spans="1:18" ht="90" hidden="1" x14ac:dyDescent="0.3">
      <c r="A55" s="143" t="s">
        <v>196</v>
      </c>
      <c r="B55" s="123"/>
      <c r="C55" s="128" t="s">
        <v>197</v>
      </c>
      <c r="D55" s="125"/>
      <c r="E55" s="125" t="s">
        <v>198</v>
      </c>
      <c r="F55" s="129" t="s">
        <v>6</v>
      </c>
      <c r="G55" s="130">
        <v>1.2</v>
      </c>
      <c r="H55" s="131"/>
      <c r="I55" s="131">
        <v>502.38</v>
      </c>
      <c r="J55" s="127"/>
      <c r="K55" s="127"/>
      <c r="L55" s="127"/>
      <c r="M55" s="127"/>
      <c r="N55" s="127"/>
      <c r="O55" s="127"/>
      <c r="P55" s="127"/>
      <c r="Q55" s="127"/>
      <c r="R55" s="144"/>
    </row>
    <row r="56" spans="1:18" ht="36" hidden="1" x14ac:dyDescent="0.3">
      <c r="A56" s="143" t="s">
        <v>199</v>
      </c>
      <c r="B56" s="123"/>
      <c r="C56" s="128" t="s">
        <v>200</v>
      </c>
      <c r="D56" s="125"/>
      <c r="E56" s="125"/>
      <c r="F56" s="129" t="s">
        <v>7</v>
      </c>
      <c r="G56" s="130">
        <v>1.07</v>
      </c>
      <c r="H56" s="131"/>
      <c r="I56" s="131">
        <v>89.590999999999994</v>
      </c>
      <c r="J56" s="127"/>
      <c r="K56" s="127"/>
      <c r="L56" s="127"/>
      <c r="M56" s="127"/>
      <c r="N56" s="127"/>
      <c r="O56" s="127"/>
      <c r="P56" s="127"/>
      <c r="Q56" s="127"/>
      <c r="R56" s="144"/>
    </row>
    <row r="57" spans="1:18" ht="18" hidden="1" x14ac:dyDescent="0.3">
      <c r="A57" s="143" t="s">
        <v>201</v>
      </c>
      <c r="B57" s="123"/>
      <c r="C57" s="132" t="s">
        <v>202</v>
      </c>
      <c r="D57" s="125"/>
      <c r="E57" s="125"/>
      <c r="F57" s="129" t="s">
        <v>6</v>
      </c>
      <c r="G57" s="130">
        <v>0.25</v>
      </c>
      <c r="H57" s="131"/>
      <c r="I57" s="131">
        <v>20.933</v>
      </c>
      <c r="J57" s="127"/>
      <c r="K57" s="127"/>
      <c r="L57" s="127"/>
      <c r="M57" s="127"/>
      <c r="N57" s="127"/>
      <c r="O57" s="127"/>
      <c r="P57" s="127"/>
      <c r="Q57" s="127"/>
      <c r="R57" s="144"/>
    </row>
    <row r="58" spans="1:18" ht="36" hidden="1" x14ac:dyDescent="0.3">
      <c r="A58" s="143" t="s">
        <v>203</v>
      </c>
      <c r="B58" s="123"/>
      <c r="C58" s="132" t="s">
        <v>204</v>
      </c>
      <c r="D58" s="125"/>
      <c r="E58" s="125"/>
      <c r="F58" s="129" t="s">
        <v>6</v>
      </c>
      <c r="G58" s="130">
        <v>0.15</v>
      </c>
      <c r="H58" s="130"/>
      <c r="I58" s="130">
        <v>12.56</v>
      </c>
      <c r="J58" s="127"/>
      <c r="K58" s="127"/>
      <c r="L58" s="127"/>
      <c r="M58" s="127"/>
      <c r="N58" s="127"/>
      <c r="O58" s="127"/>
      <c r="P58" s="127"/>
      <c r="Q58" s="127"/>
      <c r="R58" s="144"/>
    </row>
    <row r="59" spans="1:18" ht="54" x14ac:dyDescent="0.3">
      <c r="A59" s="143" t="s">
        <v>205</v>
      </c>
      <c r="B59" s="123" t="s">
        <v>206</v>
      </c>
      <c r="C59" s="124" t="s">
        <v>207</v>
      </c>
      <c r="D59" s="125"/>
      <c r="E59" s="125" t="s">
        <v>208</v>
      </c>
      <c r="F59" s="125" t="s">
        <v>7</v>
      </c>
      <c r="G59" s="126">
        <v>1</v>
      </c>
      <c r="H59" s="126"/>
      <c r="I59" s="126">
        <v>1201.9000000000001</v>
      </c>
      <c r="J59" s="127"/>
      <c r="K59" s="127"/>
      <c r="L59" s="127"/>
      <c r="M59" s="127"/>
      <c r="N59" s="127"/>
      <c r="O59" s="127"/>
      <c r="P59" s="127"/>
      <c r="Q59" s="127"/>
      <c r="R59" s="144"/>
    </row>
    <row r="60" spans="1:18" ht="90" hidden="1" x14ac:dyDescent="0.3">
      <c r="A60" s="143" t="s">
        <v>209</v>
      </c>
      <c r="B60" s="123"/>
      <c r="C60" s="128" t="s">
        <v>210</v>
      </c>
      <c r="D60" s="125"/>
      <c r="E60" s="125" t="s">
        <v>211</v>
      </c>
      <c r="F60" s="129" t="s">
        <v>6</v>
      </c>
      <c r="G60" s="130">
        <v>1.2</v>
      </c>
      <c r="H60" s="131"/>
      <c r="I60" s="131">
        <v>7211.4</v>
      </c>
      <c r="J60" s="127"/>
      <c r="K60" s="127"/>
      <c r="L60" s="127"/>
      <c r="M60" s="127"/>
      <c r="N60" s="127"/>
      <c r="O60" s="127"/>
      <c r="P60" s="127"/>
      <c r="Q60" s="127"/>
      <c r="R60" s="144"/>
    </row>
    <row r="61" spans="1:18" ht="72" hidden="1" x14ac:dyDescent="0.3">
      <c r="A61" s="143" t="s">
        <v>212</v>
      </c>
      <c r="B61" s="123"/>
      <c r="C61" s="132" t="s">
        <v>213</v>
      </c>
      <c r="D61" s="125"/>
      <c r="E61" s="125" t="s">
        <v>214</v>
      </c>
      <c r="F61" s="129" t="s">
        <v>7</v>
      </c>
      <c r="G61" s="130">
        <v>1.2</v>
      </c>
      <c r="H61" s="131"/>
      <c r="I61" s="131">
        <v>1442.28</v>
      </c>
      <c r="J61" s="127"/>
      <c r="K61" s="127"/>
      <c r="L61" s="127"/>
      <c r="M61" s="127"/>
      <c r="N61" s="127"/>
      <c r="O61" s="127"/>
      <c r="P61" s="127"/>
      <c r="Q61" s="127"/>
      <c r="R61" s="144"/>
    </row>
    <row r="62" spans="1:18" ht="18" hidden="1" x14ac:dyDescent="0.3">
      <c r="A62" s="143" t="s">
        <v>215</v>
      </c>
      <c r="B62" s="123"/>
      <c r="C62" s="132" t="s">
        <v>216</v>
      </c>
      <c r="D62" s="125"/>
      <c r="E62" s="125"/>
      <c r="F62" s="129" t="s">
        <v>6</v>
      </c>
      <c r="G62" s="130">
        <v>0.25</v>
      </c>
      <c r="H62" s="131"/>
      <c r="I62" s="131">
        <v>300.47500000000002</v>
      </c>
      <c r="J62" s="127"/>
      <c r="K62" s="127"/>
      <c r="L62" s="127"/>
      <c r="M62" s="127"/>
      <c r="N62" s="127"/>
      <c r="O62" s="127"/>
      <c r="P62" s="127"/>
      <c r="Q62" s="127"/>
      <c r="R62" s="144"/>
    </row>
    <row r="63" spans="1:18" ht="36" hidden="1" x14ac:dyDescent="0.3">
      <c r="A63" s="143" t="s">
        <v>217</v>
      </c>
      <c r="B63" s="123"/>
      <c r="C63" s="132" t="s">
        <v>204</v>
      </c>
      <c r="D63" s="125"/>
      <c r="E63" s="125"/>
      <c r="F63" s="129" t="s">
        <v>6</v>
      </c>
      <c r="G63" s="130">
        <v>0.15</v>
      </c>
      <c r="H63" s="130"/>
      <c r="I63" s="130">
        <v>180.285</v>
      </c>
      <c r="J63" s="127"/>
      <c r="K63" s="127"/>
      <c r="L63" s="127"/>
      <c r="M63" s="127"/>
      <c r="N63" s="127"/>
      <c r="O63" s="127"/>
      <c r="P63" s="127"/>
      <c r="Q63" s="127"/>
      <c r="R63" s="144"/>
    </row>
    <row r="64" spans="1:18" ht="18" x14ac:dyDescent="0.3">
      <c r="A64" s="143" t="s">
        <v>218</v>
      </c>
      <c r="B64" s="123" t="s">
        <v>219</v>
      </c>
      <c r="C64" s="124" t="s">
        <v>220</v>
      </c>
      <c r="D64" s="125" t="s">
        <v>221</v>
      </c>
      <c r="E64" s="125" t="s">
        <v>222</v>
      </c>
      <c r="F64" s="125" t="s">
        <v>7</v>
      </c>
      <c r="G64" s="126">
        <v>1</v>
      </c>
      <c r="H64" s="126"/>
      <c r="I64" s="126">
        <v>468.22</v>
      </c>
      <c r="J64" s="127"/>
      <c r="K64" s="127"/>
      <c r="L64" s="127"/>
      <c r="M64" s="127"/>
      <c r="N64" s="127"/>
      <c r="O64" s="127"/>
      <c r="P64" s="127"/>
      <c r="Q64" s="127"/>
      <c r="R64" s="144"/>
    </row>
    <row r="65" spans="1:18" ht="36" hidden="1" x14ac:dyDescent="0.3">
      <c r="A65" s="143" t="s">
        <v>223</v>
      </c>
      <c r="B65" s="123"/>
      <c r="C65" s="132" t="s">
        <v>224</v>
      </c>
      <c r="D65" s="125"/>
      <c r="E65" s="125"/>
      <c r="F65" s="129" t="s">
        <v>6</v>
      </c>
      <c r="G65" s="130">
        <v>0.15</v>
      </c>
      <c r="H65" s="130"/>
      <c r="I65" s="130">
        <v>70.233000000000004</v>
      </c>
      <c r="J65" s="127"/>
      <c r="K65" s="127"/>
      <c r="L65" s="127"/>
      <c r="M65" s="127"/>
      <c r="N65" s="127"/>
      <c r="O65" s="127"/>
      <c r="P65" s="127"/>
      <c r="Q65" s="127"/>
      <c r="R65" s="144"/>
    </row>
    <row r="66" spans="1:18" ht="72" hidden="1" x14ac:dyDescent="0.3">
      <c r="A66" s="143" t="s">
        <v>225</v>
      </c>
      <c r="B66" s="123"/>
      <c r="C66" s="132" t="s">
        <v>226</v>
      </c>
      <c r="D66" s="125"/>
      <c r="E66" s="125"/>
      <c r="F66" s="129" t="s">
        <v>5</v>
      </c>
      <c r="G66" s="130">
        <v>1</v>
      </c>
      <c r="H66" s="131"/>
      <c r="I66" s="131">
        <v>468.2</v>
      </c>
      <c r="J66" s="127"/>
      <c r="K66" s="127"/>
      <c r="L66" s="127"/>
      <c r="M66" s="127"/>
      <c r="N66" s="127"/>
      <c r="O66" s="127"/>
      <c r="P66" s="127"/>
      <c r="Q66" s="127"/>
      <c r="R66" s="144"/>
    </row>
    <row r="67" spans="1:18" ht="126" hidden="1" x14ac:dyDescent="0.3">
      <c r="A67" s="143" t="s">
        <v>227</v>
      </c>
      <c r="B67" s="123"/>
      <c r="C67" s="128" t="s">
        <v>228</v>
      </c>
      <c r="D67" s="125"/>
      <c r="E67" s="125" t="s">
        <v>229</v>
      </c>
      <c r="F67" s="129" t="s">
        <v>7</v>
      </c>
      <c r="G67" s="130">
        <v>1.1000000000000001</v>
      </c>
      <c r="H67" s="131"/>
      <c r="I67" s="131">
        <v>186.12</v>
      </c>
      <c r="J67" s="127"/>
      <c r="K67" s="127"/>
      <c r="L67" s="127"/>
      <c r="M67" s="127"/>
      <c r="N67" s="127"/>
      <c r="O67" s="127"/>
      <c r="P67" s="127"/>
      <c r="Q67" s="127"/>
      <c r="R67" s="144"/>
    </row>
    <row r="68" spans="1:18" ht="126" hidden="1" x14ac:dyDescent="0.3">
      <c r="A68" s="143" t="s">
        <v>230</v>
      </c>
      <c r="B68" s="123"/>
      <c r="C68" s="128" t="s">
        <v>231</v>
      </c>
      <c r="D68" s="125"/>
      <c r="E68" s="125" t="s">
        <v>229</v>
      </c>
      <c r="F68" s="129" t="s">
        <v>7</v>
      </c>
      <c r="G68" s="130">
        <v>1.1000000000000001</v>
      </c>
      <c r="H68" s="131"/>
      <c r="I68" s="131">
        <v>328.92200000000003</v>
      </c>
      <c r="J68" s="127"/>
      <c r="K68" s="127"/>
      <c r="L68" s="127"/>
      <c r="M68" s="127"/>
      <c r="N68" s="127"/>
      <c r="O68" s="127"/>
      <c r="P68" s="127"/>
      <c r="Q68" s="127"/>
      <c r="R68" s="144"/>
    </row>
    <row r="69" spans="1:18" ht="18" hidden="1" x14ac:dyDescent="0.3">
      <c r="A69" s="143" t="s">
        <v>232</v>
      </c>
      <c r="B69" s="123"/>
      <c r="C69" s="132" t="s">
        <v>233</v>
      </c>
      <c r="D69" s="125"/>
      <c r="E69" s="125"/>
      <c r="F69" s="129" t="s">
        <v>6</v>
      </c>
      <c r="G69" s="130">
        <v>0.3</v>
      </c>
      <c r="H69" s="130"/>
      <c r="I69" s="130">
        <v>140.46600000000001</v>
      </c>
      <c r="J69" s="127"/>
      <c r="K69" s="127"/>
      <c r="L69" s="127"/>
      <c r="M69" s="127"/>
      <c r="N69" s="127"/>
      <c r="O69" s="127"/>
      <c r="P69" s="127"/>
      <c r="Q69" s="127"/>
      <c r="R69" s="144"/>
    </row>
    <row r="70" spans="1:18" ht="18" x14ac:dyDescent="0.3">
      <c r="A70" s="143" t="s">
        <v>234</v>
      </c>
      <c r="B70" s="123" t="s">
        <v>235</v>
      </c>
      <c r="C70" s="124" t="s">
        <v>236</v>
      </c>
      <c r="D70" s="125"/>
      <c r="E70" s="125" t="s">
        <v>237</v>
      </c>
      <c r="F70" s="125" t="s">
        <v>5</v>
      </c>
      <c r="G70" s="126">
        <v>1</v>
      </c>
      <c r="H70" s="126"/>
      <c r="I70" s="126">
        <v>48</v>
      </c>
      <c r="J70" s="127"/>
      <c r="K70" s="127"/>
      <c r="L70" s="127"/>
      <c r="M70" s="127"/>
      <c r="N70" s="127"/>
      <c r="O70" s="127"/>
      <c r="P70" s="127"/>
      <c r="Q70" s="127"/>
      <c r="R70" s="144"/>
    </row>
    <row r="71" spans="1:18" ht="18" hidden="1" x14ac:dyDescent="0.3">
      <c r="A71" s="143" t="s">
        <v>238</v>
      </c>
      <c r="B71" s="123"/>
      <c r="C71" s="132" t="s">
        <v>239</v>
      </c>
      <c r="D71" s="125"/>
      <c r="E71" s="125"/>
      <c r="F71" s="129" t="s">
        <v>5</v>
      </c>
      <c r="G71" s="130">
        <v>1.1000000000000001</v>
      </c>
      <c r="H71" s="131"/>
      <c r="I71" s="131">
        <v>52.8</v>
      </c>
      <c r="J71" s="127"/>
      <c r="K71" s="127"/>
      <c r="L71" s="127"/>
      <c r="M71" s="127"/>
      <c r="N71" s="127"/>
      <c r="O71" s="127"/>
      <c r="P71" s="127"/>
      <c r="Q71" s="127"/>
      <c r="R71" s="144"/>
    </row>
    <row r="72" spans="1:18" ht="18" hidden="1" x14ac:dyDescent="0.3">
      <c r="A72" s="143" t="s">
        <v>240</v>
      </c>
      <c r="B72" s="123"/>
      <c r="C72" s="132" t="s">
        <v>241</v>
      </c>
      <c r="D72" s="125"/>
      <c r="E72" s="125"/>
      <c r="F72" s="129" t="s">
        <v>41</v>
      </c>
      <c r="G72" s="141">
        <v>0.09</v>
      </c>
      <c r="H72" s="130"/>
      <c r="I72" s="130">
        <v>4.32</v>
      </c>
      <c r="J72" s="127"/>
      <c r="K72" s="127"/>
      <c r="L72" s="127"/>
      <c r="M72" s="127"/>
      <c r="N72" s="127"/>
      <c r="O72" s="127"/>
      <c r="P72" s="127"/>
      <c r="Q72" s="127"/>
      <c r="R72" s="144"/>
    </row>
    <row r="73" spans="1:18" ht="18" x14ac:dyDescent="0.3">
      <c r="A73" s="143" t="s">
        <v>242</v>
      </c>
      <c r="B73" s="123" t="s">
        <v>235</v>
      </c>
      <c r="C73" s="124" t="s">
        <v>236</v>
      </c>
      <c r="D73" s="125"/>
      <c r="E73" s="125" t="s">
        <v>243</v>
      </c>
      <c r="F73" s="125" t="s">
        <v>5</v>
      </c>
      <c r="G73" s="126">
        <v>1</v>
      </c>
      <c r="H73" s="126"/>
      <c r="I73" s="126">
        <v>146.12</v>
      </c>
      <c r="J73" s="127"/>
      <c r="K73" s="127"/>
      <c r="L73" s="127"/>
      <c r="M73" s="127"/>
      <c r="N73" s="127"/>
      <c r="O73" s="127"/>
      <c r="P73" s="127"/>
      <c r="Q73" s="127"/>
      <c r="R73" s="144"/>
    </row>
    <row r="74" spans="1:18" ht="36" hidden="1" x14ac:dyDescent="0.3">
      <c r="A74" s="143" t="s">
        <v>244</v>
      </c>
      <c r="B74" s="123"/>
      <c r="C74" s="132" t="s">
        <v>245</v>
      </c>
      <c r="D74" s="125"/>
      <c r="E74" s="125"/>
      <c r="F74" s="129" t="s">
        <v>5</v>
      </c>
      <c r="G74" s="130">
        <v>1.05</v>
      </c>
      <c r="H74" s="131"/>
      <c r="I74" s="131">
        <v>76.712999999999994</v>
      </c>
      <c r="J74" s="127"/>
      <c r="K74" s="127"/>
      <c r="L74" s="127"/>
      <c r="M74" s="127"/>
      <c r="N74" s="127"/>
      <c r="O74" s="127"/>
      <c r="P74" s="127"/>
      <c r="Q74" s="127"/>
      <c r="R74" s="144"/>
    </row>
    <row r="75" spans="1:18" ht="18" hidden="1" x14ac:dyDescent="0.3">
      <c r="A75" s="143" t="s">
        <v>246</v>
      </c>
      <c r="B75" s="123"/>
      <c r="C75" s="128" t="s">
        <v>247</v>
      </c>
      <c r="D75" s="125"/>
      <c r="E75" s="125" t="s">
        <v>248</v>
      </c>
      <c r="F75" s="129" t="s">
        <v>5</v>
      </c>
      <c r="G75" s="130">
        <v>1.05</v>
      </c>
      <c r="H75" s="131"/>
      <c r="I75" s="131">
        <v>76.712999999999994</v>
      </c>
      <c r="J75" s="127"/>
      <c r="K75" s="127"/>
      <c r="L75" s="127"/>
      <c r="M75" s="127"/>
      <c r="N75" s="127"/>
      <c r="O75" s="127"/>
      <c r="P75" s="127"/>
      <c r="Q75" s="127"/>
      <c r="R75" s="144"/>
    </row>
    <row r="76" spans="1:18" ht="54" x14ac:dyDescent="0.3">
      <c r="A76" s="143" t="s">
        <v>249</v>
      </c>
      <c r="B76" s="123" t="s">
        <v>250</v>
      </c>
      <c r="C76" s="124" t="s">
        <v>251</v>
      </c>
      <c r="D76" s="125"/>
      <c r="E76" s="125" t="s">
        <v>252</v>
      </c>
      <c r="F76" s="125" t="s">
        <v>5</v>
      </c>
      <c r="G76" s="126">
        <v>1</v>
      </c>
      <c r="H76" s="126"/>
      <c r="I76" s="126">
        <v>333.75</v>
      </c>
      <c r="J76" s="127"/>
      <c r="K76" s="127"/>
      <c r="L76" s="127"/>
      <c r="M76" s="127"/>
      <c r="N76" s="127"/>
      <c r="O76" s="127"/>
      <c r="P76" s="127"/>
      <c r="Q76" s="127"/>
      <c r="R76" s="144"/>
    </row>
    <row r="77" spans="1:18" ht="108" hidden="1" x14ac:dyDescent="0.3">
      <c r="A77" s="143" t="s">
        <v>253</v>
      </c>
      <c r="B77" s="123"/>
      <c r="C77" s="132" t="s">
        <v>254</v>
      </c>
      <c r="D77" s="125"/>
      <c r="E77" s="125" t="s">
        <v>255</v>
      </c>
      <c r="F77" s="129" t="s">
        <v>41</v>
      </c>
      <c r="G77" s="130">
        <v>1.84</v>
      </c>
      <c r="H77" s="130"/>
      <c r="I77" s="130">
        <v>614.1</v>
      </c>
      <c r="J77" s="127"/>
      <c r="K77" s="127"/>
      <c r="L77" s="127"/>
      <c r="M77" s="127"/>
      <c r="N77" s="127"/>
      <c r="O77" s="127"/>
      <c r="P77" s="127"/>
      <c r="Q77" s="127"/>
      <c r="R77" s="144"/>
    </row>
    <row r="78" spans="1:18" ht="36" hidden="1" x14ac:dyDescent="0.3">
      <c r="A78" s="143" t="s">
        <v>256</v>
      </c>
      <c r="B78" s="123"/>
      <c r="C78" s="132" t="s">
        <v>257</v>
      </c>
      <c r="D78" s="125"/>
      <c r="E78" s="125" t="s">
        <v>258</v>
      </c>
      <c r="F78" s="129" t="s">
        <v>6</v>
      </c>
      <c r="G78" s="130">
        <v>0.7</v>
      </c>
      <c r="H78" s="130"/>
      <c r="I78" s="130">
        <v>233.625</v>
      </c>
      <c r="J78" s="127"/>
      <c r="K78" s="127"/>
      <c r="L78" s="127"/>
      <c r="M78" s="127"/>
      <c r="N78" s="127"/>
      <c r="O78" s="127"/>
      <c r="P78" s="127"/>
      <c r="Q78" s="127"/>
      <c r="R78" s="144"/>
    </row>
    <row r="79" spans="1:18" ht="18" hidden="1" x14ac:dyDescent="0.3">
      <c r="A79" s="143" t="s">
        <v>259</v>
      </c>
      <c r="B79" s="123"/>
      <c r="C79" s="132" t="s">
        <v>216</v>
      </c>
      <c r="D79" s="125"/>
      <c r="E79" s="125"/>
      <c r="F79" s="129" t="s">
        <v>6</v>
      </c>
      <c r="G79" s="130">
        <v>0.04</v>
      </c>
      <c r="H79" s="130"/>
      <c r="I79" s="130">
        <v>13.35</v>
      </c>
      <c r="J79" s="127"/>
      <c r="K79" s="127"/>
      <c r="L79" s="127"/>
      <c r="M79" s="127"/>
      <c r="N79" s="127"/>
      <c r="O79" s="127"/>
      <c r="P79" s="127"/>
      <c r="Q79" s="127"/>
      <c r="R79" s="144"/>
    </row>
    <row r="80" spans="1:18" ht="36" hidden="1" x14ac:dyDescent="0.3">
      <c r="A80" s="143" t="s">
        <v>260</v>
      </c>
      <c r="B80" s="123"/>
      <c r="C80" s="132" t="s">
        <v>204</v>
      </c>
      <c r="D80" s="125"/>
      <c r="E80" s="125"/>
      <c r="F80" s="129" t="s">
        <v>6</v>
      </c>
      <c r="G80" s="130">
        <v>1.4999999999999999E-2</v>
      </c>
      <c r="H80" s="130"/>
      <c r="I80" s="130">
        <v>5.0060000000000002</v>
      </c>
      <c r="J80" s="127"/>
      <c r="K80" s="127"/>
      <c r="L80" s="127"/>
      <c r="M80" s="127"/>
      <c r="N80" s="127"/>
      <c r="O80" s="127"/>
      <c r="P80" s="127"/>
      <c r="Q80" s="127"/>
      <c r="R80" s="144"/>
    </row>
    <row r="81" spans="1:18" ht="54" x14ac:dyDescent="0.3">
      <c r="A81" s="143" t="s">
        <v>261</v>
      </c>
      <c r="B81" s="123" t="s">
        <v>250</v>
      </c>
      <c r="C81" s="124" t="s">
        <v>251</v>
      </c>
      <c r="D81" s="125"/>
      <c r="E81" s="125" t="s">
        <v>262</v>
      </c>
      <c r="F81" s="125" t="s">
        <v>5</v>
      </c>
      <c r="G81" s="126">
        <v>1</v>
      </c>
      <c r="H81" s="126"/>
      <c r="I81" s="126">
        <v>19.100000000000001</v>
      </c>
      <c r="J81" s="127"/>
      <c r="K81" s="127"/>
      <c r="L81" s="127"/>
      <c r="M81" s="127"/>
      <c r="N81" s="127"/>
      <c r="O81" s="127"/>
      <c r="P81" s="127"/>
      <c r="Q81" s="127"/>
      <c r="R81" s="144"/>
    </row>
    <row r="82" spans="1:18" ht="36" hidden="1" x14ac:dyDescent="0.3">
      <c r="A82" s="143" t="s">
        <v>263</v>
      </c>
      <c r="B82" s="123"/>
      <c r="C82" s="132" t="s">
        <v>204</v>
      </c>
      <c r="D82" s="125"/>
      <c r="E82" s="125"/>
      <c r="F82" s="129" t="s">
        <v>6</v>
      </c>
      <c r="G82" s="130">
        <v>1.4999999999999999E-2</v>
      </c>
      <c r="H82" s="130"/>
      <c r="I82" s="130">
        <v>0.28699999999999998</v>
      </c>
      <c r="J82" s="127"/>
      <c r="K82" s="127"/>
      <c r="L82" s="127"/>
      <c r="M82" s="127"/>
      <c r="N82" s="127"/>
      <c r="O82" s="127"/>
      <c r="P82" s="127"/>
      <c r="Q82" s="127"/>
      <c r="R82" s="144"/>
    </row>
    <row r="83" spans="1:18" ht="18" hidden="1" x14ac:dyDescent="0.3">
      <c r="A83" s="143" t="s">
        <v>264</v>
      </c>
      <c r="B83" s="123"/>
      <c r="C83" s="132" t="s">
        <v>202</v>
      </c>
      <c r="D83" s="125"/>
      <c r="E83" s="125"/>
      <c r="F83" s="129" t="s">
        <v>6</v>
      </c>
      <c r="G83" s="130">
        <v>0.04</v>
      </c>
      <c r="H83" s="130"/>
      <c r="I83" s="130">
        <v>0.76400000000000001</v>
      </c>
      <c r="J83" s="127"/>
      <c r="K83" s="127"/>
      <c r="L83" s="127"/>
      <c r="M83" s="127"/>
      <c r="N83" s="127"/>
      <c r="O83" s="127"/>
      <c r="P83" s="127"/>
      <c r="Q83" s="127"/>
      <c r="R83" s="144"/>
    </row>
    <row r="84" spans="1:18" ht="36" hidden="1" x14ac:dyDescent="0.3">
      <c r="A84" s="143" t="s">
        <v>265</v>
      </c>
      <c r="B84" s="123"/>
      <c r="C84" s="132" t="s">
        <v>266</v>
      </c>
      <c r="D84" s="125"/>
      <c r="E84" s="125"/>
      <c r="F84" s="129" t="s">
        <v>7</v>
      </c>
      <c r="G84" s="130">
        <v>0.11</v>
      </c>
      <c r="H84" s="130"/>
      <c r="I84" s="130">
        <v>2.101</v>
      </c>
      <c r="J84" s="127"/>
      <c r="K84" s="127"/>
      <c r="L84" s="127"/>
      <c r="M84" s="127"/>
      <c r="N84" s="127"/>
      <c r="O84" s="127"/>
      <c r="P84" s="127"/>
      <c r="Q84" s="127"/>
      <c r="R84" s="144"/>
    </row>
    <row r="85" spans="1:18" ht="36" hidden="1" x14ac:dyDescent="0.3">
      <c r="A85" s="143" t="s">
        <v>267</v>
      </c>
      <c r="B85" s="123"/>
      <c r="C85" s="132" t="s">
        <v>257</v>
      </c>
      <c r="D85" s="125"/>
      <c r="E85" s="125" t="s">
        <v>258</v>
      </c>
      <c r="F85" s="129" t="s">
        <v>6</v>
      </c>
      <c r="G85" s="130">
        <v>0.7</v>
      </c>
      <c r="H85" s="130"/>
      <c r="I85" s="130">
        <v>13.37</v>
      </c>
      <c r="J85" s="127"/>
      <c r="K85" s="127"/>
      <c r="L85" s="127"/>
      <c r="M85" s="127"/>
      <c r="N85" s="127"/>
      <c r="O85" s="127"/>
      <c r="P85" s="127"/>
      <c r="Q85" s="127"/>
      <c r="R85" s="144"/>
    </row>
    <row r="86" spans="1:18" ht="54" x14ac:dyDescent="0.3">
      <c r="A86" s="143" t="s">
        <v>268</v>
      </c>
      <c r="B86" s="123" t="s">
        <v>250</v>
      </c>
      <c r="C86" s="124" t="s">
        <v>251</v>
      </c>
      <c r="D86" s="125"/>
      <c r="E86" s="125" t="s">
        <v>262</v>
      </c>
      <c r="F86" s="125" t="s">
        <v>5</v>
      </c>
      <c r="G86" s="126">
        <v>1</v>
      </c>
      <c r="H86" s="126"/>
      <c r="I86" s="126">
        <v>21.1</v>
      </c>
      <c r="J86" s="127"/>
      <c r="K86" s="127"/>
      <c r="L86" s="127"/>
      <c r="M86" s="127"/>
      <c r="N86" s="127"/>
      <c r="O86" s="127"/>
      <c r="P86" s="127"/>
      <c r="Q86" s="127"/>
      <c r="R86" s="144"/>
    </row>
    <row r="87" spans="1:18" ht="36" hidden="1" x14ac:dyDescent="0.3">
      <c r="A87" s="143" t="s">
        <v>269</v>
      </c>
      <c r="B87" s="123"/>
      <c r="C87" s="132" t="s">
        <v>257</v>
      </c>
      <c r="D87" s="125"/>
      <c r="E87" s="125" t="s">
        <v>258</v>
      </c>
      <c r="F87" s="129" t="s">
        <v>6</v>
      </c>
      <c r="G87" s="130">
        <v>0.7</v>
      </c>
      <c r="H87" s="130"/>
      <c r="I87" s="130">
        <v>14.77</v>
      </c>
      <c r="J87" s="127"/>
      <c r="K87" s="127"/>
      <c r="L87" s="127"/>
      <c r="M87" s="127"/>
      <c r="N87" s="127"/>
      <c r="O87" s="127"/>
      <c r="P87" s="127"/>
      <c r="Q87" s="127"/>
      <c r="R87" s="144"/>
    </row>
    <row r="88" spans="1:18" ht="36" hidden="1" x14ac:dyDescent="0.3">
      <c r="A88" s="143" t="s">
        <v>270</v>
      </c>
      <c r="B88" s="123"/>
      <c r="C88" s="128" t="s">
        <v>200</v>
      </c>
      <c r="D88" s="125"/>
      <c r="E88" s="125"/>
      <c r="F88" s="129" t="s">
        <v>7</v>
      </c>
      <c r="G88" s="130">
        <v>0.107</v>
      </c>
      <c r="H88" s="130"/>
      <c r="I88" s="130">
        <v>2.258</v>
      </c>
      <c r="J88" s="127"/>
      <c r="K88" s="127"/>
      <c r="L88" s="127"/>
      <c r="M88" s="127"/>
      <c r="N88" s="127"/>
      <c r="O88" s="127"/>
      <c r="P88" s="127"/>
      <c r="Q88" s="127"/>
      <c r="R88" s="144"/>
    </row>
    <row r="89" spans="1:18" ht="18" hidden="1" x14ac:dyDescent="0.3">
      <c r="A89" s="143" t="s">
        <v>271</v>
      </c>
      <c r="B89" s="123"/>
      <c r="C89" s="132" t="s">
        <v>202</v>
      </c>
      <c r="D89" s="125"/>
      <c r="E89" s="125"/>
      <c r="F89" s="129" t="s">
        <v>6</v>
      </c>
      <c r="G89" s="130">
        <v>0.04</v>
      </c>
      <c r="H89" s="130"/>
      <c r="I89" s="130">
        <v>0.84399999999999997</v>
      </c>
      <c r="J89" s="127"/>
      <c r="K89" s="127"/>
      <c r="L89" s="127"/>
      <c r="M89" s="127"/>
      <c r="N89" s="127"/>
      <c r="O89" s="127"/>
      <c r="P89" s="127"/>
      <c r="Q89" s="127"/>
      <c r="R89" s="144"/>
    </row>
    <row r="90" spans="1:18" ht="36" hidden="1" x14ac:dyDescent="0.3">
      <c r="A90" s="143" t="s">
        <v>272</v>
      </c>
      <c r="B90" s="123"/>
      <c r="C90" s="132" t="s">
        <v>204</v>
      </c>
      <c r="D90" s="125"/>
      <c r="E90" s="125"/>
      <c r="F90" s="129" t="s">
        <v>6</v>
      </c>
      <c r="G90" s="130">
        <v>1.4999999999999999E-2</v>
      </c>
      <c r="H90" s="130"/>
      <c r="I90" s="130">
        <v>0.317</v>
      </c>
      <c r="J90" s="127"/>
      <c r="K90" s="127"/>
      <c r="L90" s="127"/>
      <c r="M90" s="127"/>
      <c r="N90" s="127"/>
      <c r="O90" s="127"/>
      <c r="P90" s="127"/>
      <c r="Q90" s="127"/>
      <c r="R90" s="144"/>
    </row>
    <row r="91" spans="1:18" ht="36" x14ac:dyDescent="0.3">
      <c r="A91" s="143" t="s">
        <v>273</v>
      </c>
      <c r="B91" s="123" t="s">
        <v>274</v>
      </c>
      <c r="C91" s="124" t="s">
        <v>275</v>
      </c>
      <c r="D91" s="125"/>
      <c r="E91" s="125" t="s">
        <v>276</v>
      </c>
      <c r="F91" s="125" t="s">
        <v>7</v>
      </c>
      <c r="G91" s="126">
        <v>1</v>
      </c>
      <c r="H91" s="126"/>
      <c r="I91" s="126">
        <v>4366.17</v>
      </c>
      <c r="J91" s="127"/>
      <c r="K91" s="127"/>
      <c r="L91" s="127"/>
      <c r="M91" s="127"/>
      <c r="N91" s="127"/>
      <c r="O91" s="127"/>
      <c r="P91" s="127"/>
      <c r="Q91" s="127"/>
      <c r="R91" s="144"/>
    </row>
    <row r="92" spans="1:18" ht="72" hidden="1" x14ac:dyDescent="0.3">
      <c r="A92" s="143" t="s">
        <v>277</v>
      </c>
      <c r="B92" s="123"/>
      <c r="C92" s="132" t="s">
        <v>278</v>
      </c>
      <c r="D92" s="125"/>
      <c r="E92" s="125" t="s">
        <v>279</v>
      </c>
      <c r="F92" s="129" t="s">
        <v>41</v>
      </c>
      <c r="G92" s="130">
        <v>1</v>
      </c>
      <c r="H92" s="131"/>
      <c r="I92" s="131">
        <v>1964.7</v>
      </c>
      <c r="J92" s="127"/>
      <c r="K92" s="127"/>
      <c r="L92" s="127"/>
      <c r="M92" s="127"/>
      <c r="N92" s="127"/>
      <c r="O92" s="127"/>
      <c r="P92" s="127"/>
      <c r="Q92" s="127"/>
      <c r="R92" s="144"/>
    </row>
    <row r="93" spans="1:18" ht="162" hidden="1" x14ac:dyDescent="0.3">
      <c r="A93" s="143" t="s">
        <v>280</v>
      </c>
      <c r="B93" s="123"/>
      <c r="C93" s="132" t="s">
        <v>281</v>
      </c>
      <c r="D93" s="125"/>
      <c r="E93" s="125" t="s">
        <v>282</v>
      </c>
      <c r="F93" s="129" t="s">
        <v>7</v>
      </c>
      <c r="G93" s="130">
        <v>1.03</v>
      </c>
      <c r="H93" s="131"/>
      <c r="I93" s="131">
        <v>4497.1549999999997</v>
      </c>
      <c r="J93" s="127"/>
      <c r="K93" s="127"/>
      <c r="L93" s="127"/>
      <c r="M93" s="127"/>
      <c r="N93" s="127"/>
      <c r="O93" s="127"/>
      <c r="P93" s="127"/>
      <c r="Q93" s="127"/>
      <c r="R93" s="144"/>
    </row>
    <row r="94" spans="1:18" ht="36" x14ac:dyDescent="0.3">
      <c r="A94" s="143" t="s">
        <v>283</v>
      </c>
      <c r="B94" s="123" t="s">
        <v>284</v>
      </c>
      <c r="C94" s="124" t="s">
        <v>285</v>
      </c>
      <c r="D94" s="125"/>
      <c r="E94" s="125" t="s">
        <v>286</v>
      </c>
      <c r="F94" s="125" t="s">
        <v>5</v>
      </c>
      <c r="G94" s="126">
        <v>1</v>
      </c>
      <c r="H94" s="126"/>
      <c r="I94" s="126">
        <v>2088.4499999999998</v>
      </c>
      <c r="J94" s="127"/>
      <c r="K94" s="127"/>
      <c r="L94" s="127"/>
      <c r="M94" s="127"/>
      <c r="N94" s="127"/>
      <c r="O94" s="127"/>
      <c r="P94" s="127"/>
      <c r="Q94" s="127"/>
      <c r="R94" s="144"/>
    </row>
    <row r="95" spans="1:18" ht="126" hidden="1" x14ac:dyDescent="0.3">
      <c r="A95" s="143" t="s">
        <v>287</v>
      </c>
      <c r="B95" s="123"/>
      <c r="C95" s="132" t="s">
        <v>288</v>
      </c>
      <c r="D95" s="125"/>
      <c r="E95" s="125" t="s">
        <v>289</v>
      </c>
      <c r="F95" s="129" t="s">
        <v>5</v>
      </c>
      <c r="G95" s="130">
        <v>1.1000000000000001</v>
      </c>
      <c r="H95" s="131"/>
      <c r="I95" s="131">
        <v>2297.2950000000001</v>
      </c>
      <c r="J95" s="127"/>
      <c r="K95" s="127"/>
      <c r="L95" s="127"/>
      <c r="M95" s="127"/>
      <c r="N95" s="127"/>
      <c r="O95" s="127"/>
      <c r="P95" s="127"/>
      <c r="Q95" s="127"/>
      <c r="R95" s="144"/>
    </row>
    <row r="96" spans="1:18" ht="17.100000000000001" customHeight="1" x14ac:dyDescent="0.3">
      <c r="A96" s="143" t="s">
        <v>290</v>
      </c>
      <c r="B96" s="123" t="s">
        <v>291</v>
      </c>
      <c r="C96" s="142" t="s">
        <v>292</v>
      </c>
      <c r="D96" s="142"/>
      <c r="E96" s="142"/>
      <c r="F96" s="142"/>
      <c r="G96" s="142"/>
      <c r="H96" s="142"/>
      <c r="I96" s="142"/>
      <c r="J96" s="127"/>
      <c r="K96" s="127"/>
      <c r="L96" s="127"/>
      <c r="M96" s="127"/>
      <c r="N96" s="127"/>
      <c r="O96" s="127"/>
      <c r="P96" s="127"/>
      <c r="Q96" s="127"/>
      <c r="R96" s="144"/>
    </row>
    <row r="97" spans="1:18" ht="18" x14ac:dyDescent="0.3">
      <c r="A97" s="143" t="s">
        <v>293</v>
      </c>
      <c r="B97" s="123" t="s">
        <v>294</v>
      </c>
      <c r="C97" s="124" t="s">
        <v>295</v>
      </c>
      <c r="D97" s="125"/>
      <c r="E97" s="125" t="s">
        <v>296</v>
      </c>
      <c r="F97" s="125" t="s">
        <v>7</v>
      </c>
      <c r="G97" s="126">
        <v>1</v>
      </c>
      <c r="H97" s="126"/>
      <c r="I97" s="126">
        <v>46.62</v>
      </c>
      <c r="J97" s="127"/>
      <c r="K97" s="127"/>
      <c r="L97" s="127"/>
      <c r="M97" s="127"/>
      <c r="N97" s="127"/>
      <c r="O97" s="127"/>
      <c r="P97" s="127"/>
      <c r="Q97" s="127"/>
      <c r="R97" s="144"/>
    </row>
    <row r="98" spans="1:18" ht="90" hidden="1" x14ac:dyDescent="0.3">
      <c r="A98" s="148" t="s">
        <v>297</v>
      </c>
      <c r="B98" s="149"/>
      <c r="C98" s="150" t="s">
        <v>298</v>
      </c>
      <c r="D98" s="151"/>
      <c r="E98" s="151" t="s">
        <v>299</v>
      </c>
      <c r="F98" s="152" t="s">
        <v>7</v>
      </c>
      <c r="G98" s="153">
        <v>1</v>
      </c>
      <c r="H98" s="153"/>
      <c r="I98" s="153">
        <v>46.62</v>
      </c>
      <c r="J98" s="154"/>
      <c r="K98" s="154"/>
      <c r="L98" s="154"/>
      <c r="M98" s="154"/>
      <c r="N98" s="154"/>
      <c r="O98" s="154"/>
      <c r="P98" s="154"/>
      <c r="Q98" s="154"/>
      <c r="R98" s="155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9"/>
  <sheetViews>
    <sheetView zoomScale="55" zoomScaleNormal="55" workbookViewId="0">
      <selection activeCell="B9" sqref="B9"/>
    </sheetView>
  </sheetViews>
  <sheetFormatPr defaultRowHeight="18" x14ac:dyDescent="0.35"/>
  <cols>
    <col min="1" max="1" width="11.5546875" style="156" customWidth="1"/>
    <col min="2" max="2" width="17.109375" style="156" customWidth="1"/>
    <col min="3" max="4" width="14.109375" style="156" customWidth="1"/>
    <col min="5" max="5" width="9.88671875" style="156" customWidth="1"/>
    <col min="6" max="6" width="18.33203125" style="156" customWidth="1"/>
    <col min="7" max="7" width="12.5546875" style="156" customWidth="1"/>
    <col min="8" max="8" width="12.88671875" style="156" customWidth="1"/>
    <col min="9" max="16384" width="8.88671875" style="156"/>
  </cols>
  <sheetData>
    <row r="1" spans="1:8" x14ac:dyDescent="0.35">
      <c r="A1" s="219" t="s">
        <v>433</v>
      </c>
      <c r="B1" s="219"/>
      <c r="C1" s="219"/>
      <c r="D1" s="219"/>
      <c r="E1" s="219"/>
      <c r="F1" s="219"/>
      <c r="G1" s="219"/>
      <c r="H1" s="219"/>
    </row>
    <row r="2" spans="1:8" ht="18" customHeight="1" x14ac:dyDescent="0.35">
      <c r="A2" s="175" t="s">
        <v>358</v>
      </c>
      <c r="B2" s="224" t="s">
        <v>302</v>
      </c>
      <c r="C2" s="225"/>
      <c r="D2" s="225"/>
      <c r="E2" s="226"/>
      <c r="F2" s="167" t="s">
        <v>340</v>
      </c>
      <c r="G2" s="175" t="s">
        <v>2</v>
      </c>
      <c r="H2" s="158" t="s">
        <v>4</v>
      </c>
    </row>
    <row r="3" spans="1:8" ht="40.799999999999997" customHeight="1" x14ac:dyDescent="0.35">
      <c r="A3" s="175">
        <v>1</v>
      </c>
      <c r="B3" s="227" t="s">
        <v>16</v>
      </c>
      <c r="C3" s="228"/>
      <c r="D3" s="228"/>
      <c r="E3" s="229"/>
      <c r="F3" s="167" t="s">
        <v>359</v>
      </c>
      <c r="G3" s="175" t="s">
        <v>7</v>
      </c>
      <c r="H3" s="159">
        <f>D9</f>
        <v>47.740000000000009</v>
      </c>
    </row>
    <row r="4" spans="1:8" ht="40.799999999999997" customHeight="1" x14ac:dyDescent="0.35">
      <c r="A4" s="184">
        <v>2</v>
      </c>
      <c r="B4" s="227" t="s">
        <v>14</v>
      </c>
      <c r="C4" s="228"/>
      <c r="D4" s="228"/>
      <c r="E4" s="229"/>
      <c r="F4" s="167" t="s">
        <v>359</v>
      </c>
      <c r="G4" s="184" t="s">
        <v>7</v>
      </c>
      <c r="H4" s="159">
        <f>H3</f>
        <v>47.740000000000009</v>
      </c>
    </row>
    <row r="5" spans="1:8" x14ac:dyDescent="0.35">
      <c r="A5" s="217"/>
      <c r="B5" s="217"/>
      <c r="C5" s="217"/>
      <c r="D5" s="217"/>
      <c r="E5" s="217"/>
      <c r="F5" s="217"/>
      <c r="G5" s="217"/>
      <c r="H5" s="217"/>
    </row>
    <row r="6" spans="1:8" x14ac:dyDescent="0.35">
      <c r="A6" s="163" t="s">
        <v>360</v>
      </c>
      <c r="B6" s="163" t="s">
        <v>361</v>
      </c>
      <c r="C6" s="163" t="s">
        <v>362</v>
      </c>
      <c r="D6" s="163" t="s">
        <v>363</v>
      </c>
      <c r="E6" s="233"/>
      <c r="F6" s="216"/>
      <c r="G6" s="216"/>
      <c r="H6" s="216"/>
    </row>
    <row r="7" spans="1:8" x14ac:dyDescent="0.35">
      <c r="A7" s="163">
        <v>1</v>
      </c>
      <c r="B7" s="163">
        <v>11.69</v>
      </c>
      <c r="C7" s="163">
        <v>8.2799999999999994</v>
      </c>
      <c r="D7" s="163">
        <v>6.03</v>
      </c>
      <c r="E7" s="233"/>
      <c r="F7" s="216"/>
      <c r="G7" s="216"/>
      <c r="H7" s="216"/>
    </row>
    <row r="8" spans="1:8" x14ac:dyDescent="0.35">
      <c r="A8" s="163" t="s">
        <v>100</v>
      </c>
      <c r="B8" s="163">
        <v>7.73</v>
      </c>
      <c r="C8" s="163">
        <v>8.09</v>
      </c>
      <c r="D8" s="163">
        <v>5.92</v>
      </c>
      <c r="E8" s="233"/>
      <c r="F8" s="216"/>
      <c r="G8" s="216"/>
      <c r="H8" s="216"/>
    </row>
    <row r="9" spans="1:8" x14ac:dyDescent="0.35">
      <c r="C9" s="163" t="s">
        <v>364</v>
      </c>
      <c r="D9" s="163">
        <f>SUM(B7:D8)</f>
        <v>47.740000000000009</v>
      </c>
      <c r="E9" s="233"/>
      <c r="F9" s="216"/>
      <c r="G9" s="216"/>
      <c r="H9" s="216"/>
    </row>
  </sheetData>
  <mergeCells count="6">
    <mergeCell ref="A1:H1"/>
    <mergeCell ref="B2:E2"/>
    <mergeCell ref="B3:E3"/>
    <mergeCell ref="A5:H5"/>
    <mergeCell ref="E6:H9"/>
    <mergeCell ref="B4:E4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E3"/>
  <sheetViews>
    <sheetView zoomScale="85" zoomScaleNormal="85" workbookViewId="0">
      <selection activeCell="B36" sqref="B36"/>
    </sheetView>
  </sheetViews>
  <sheetFormatPr defaultRowHeight="18" x14ac:dyDescent="0.35"/>
  <cols>
    <col min="1" max="1" width="8.88671875" style="156"/>
    <col min="2" max="2" width="49.6640625" style="156" customWidth="1"/>
    <col min="3" max="3" width="18.33203125" style="156" customWidth="1"/>
    <col min="4" max="4" width="12.5546875" style="156" customWidth="1"/>
    <col min="5" max="5" width="12.88671875" style="156" customWidth="1"/>
    <col min="6" max="16384" width="8.88671875" style="156"/>
  </cols>
  <sheetData>
    <row r="1" spans="1:5" x14ac:dyDescent="0.35">
      <c r="A1" s="219" t="s">
        <v>433</v>
      </c>
      <c r="B1" s="219"/>
      <c r="C1" s="219"/>
      <c r="D1" s="219"/>
      <c r="E1" s="219"/>
    </row>
    <row r="2" spans="1:5" ht="18" customHeight="1" x14ac:dyDescent="0.35">
      <c r="A2" s="177" t="s">
        <v>358</v>
      </c>
      <c r="B2" s="177" t="s">
        <v>302</v>
      </c>
      <c r="C2" s="167" t="s">
        <v>340</v>
      </c>
      <c r="D2" s="177" t="s">
        <v>2</v>
      </c>
      <c r="E2" s="158" t="s">
        <v>4</v>
      </c>
    </row>
    <row r="3" spans="1:5" ht="40.799999999999997" customHeight="1" x14ac:dyDescent="0.35">
      <c r="A3" s="177">
        <v>1</v>
      </c>
      <c r="B3" s="176" t="s">
        <v>19</v>
      </c>
      <c r="C3" s="167" t="s">
        <v>39</v>
      </c>
      <c r="D3" s="177" t="s">
        <v>7</v>
      </c>
      <c r="E3" s="159">
        <v>72.59</v>
      </c>
    </row>
  </sheetData>
  <mergeCells count="1">
    <mergeCell ref="A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9"/>
  <sheetViews>
    <sheetView zoomScale="85" zoomScaleNormal="85" workbookViewId="0">
      <selection activeCell="B9" sqref="B9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28.33203125" style="156" customWidth="1"/>
    <col min="4" max="4" width="12.8867187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9" t="s">
        <v>433</v>
      </c>
      <c r="B1" s="219"/>
      <c r="C1" s="219"/>
      <c r="D1" s="219"/>
      <c r="E1" s="219"/>
      <c r="F1" s="219"/>
    </row>
    <row r="2" spans="1:6" ht="18" customHeight="1" x14ac:dyDescent="0.35">
      <c r="A2" s="224" t="s">
        <v>302</v>
      </c>
      <c r="B2" s="225"/>
      <c r="C2" s="226"/>
      <c r="D2" s="167" t="s">
        <v>340</v>
      </c>
      <c r="E2" s="173" t="s">
        <v>2</v>
      </c>
      <c r="F2" s="158" t="s">
        <v>4</v>
      </c>
    </row>
    <row r="3" spans="1:6" ht="67.2" customHeight="1" x14ac:dyDescent="0.35">
      <c r="A3" s="227" t="s">
        <v>355</v>
      </c>
      <c r="B3" s="228"/>
      <c r="C3" s="229"/>
      <c r="D3" s="167" t="s">
        <v>342</v>
      </c>
      <c r="E3" s="173" t="s">
        <v>7</v>
      </c>
      <c r="F3" s="159">
        <f>B9</f>
        <v>1888.15</v>
      </c>
    </row>
    <row r="4" spans="1:6" ht="36" x14ac:dyDescent="0.35">
      <c r="A4" s="160" t="s">
        <v>317</v>
      </c>
      <c r="B4" s="160" t="s">
        <v>318</v>
      </c>
      <c r="C4" s="262"/>
      <c r="D4" s="263"/>
      <c r="E4" s="263"/>
      <c r="F4" s="263"/>
    </row>
    <row r="5" spans="1:6" x14ac:dyDescent="0.35">
      <c r="A5" s="161" t="s">
        <v>343</v>
      </c>
      <c r="B5" s="162">
        <v>379.31</v>
      </c>
      <c r="C5" s="264"/>
      <c r="D5" s="265"/>
      <c r="E5" s="265"/>
      <c r="F5" s="265"/>
    </row>
    <row r="6" spans="1:6" x14ac:dyDescent="0.35">
      <c r="A6" s="161" t="s">
        <v>344</v>
      </c>
      <c r="B6" s="162">
        <v>381.65</v>
      </c>
      <c r="C6" s="264"/>
      <c r="D6" s="265"/>
      <c r="E6" s="265"/>
      <c r="F6" s="265"/>
    </row>
    <row r="7" spans="1:6" x14ac:dyDescent="0.35">
      <c r="A7" s="161" t="s">
        <v>345</v>
      </c>
      <c r="B7" s="162">
        <v>563.46</v>
      </c>
      <c r="C7" s="264"/>
      <c r="D7" s="265"/>
      <c r="E7" s="265"/>
      <c r="F7" s="265"/>
    </row>
    <row r="8" spans="1:6" x14ac:dyDescent="0.35">
      <c r="A8" s="161" t="s">
        <v>346</v>
      </c>
      <c r="B8" s="162">
        <v>563.73</v>
      </c>
      <c r="C8" s="264"/>
      <c r="D8" s="265"/>
      <c r="E8" s="265"/>
      <c r="F8" s="265"/>
    </row>
    <row r="9" spans="1:6" x14ac:dyDescent="0.35">
      <c r="A9" s="163" t="s">
        <v>336</v>
      </c>
      <c r="B9" s="162">
        <f>SUM(B5:B8)</f>
        <v>1888.15</v>
      </c>
      <c r="C9" s="264"/>
      <c r="D9" s="265"/>
      <c r="E9" s="265"/>
      <c r="F9" s="265"/>
    </row>
  </sheetData>
  <mergeCells count="4">
    <mergeCell ref="A1:F1"/>
    <mergeCell ref="A2:C2"/>
    <mergeCell ref="A3:C3"/>
    <mergeCell ref="C4:F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E3"/>
  <sheetViews>
    <sheetView zoomScale="85" zoomScaleNormal="85" workbookViewId="0">
      <selection activeCell="F8" sqref="F8"/>
    </sheetView>
  </sheetViews>
  <sheetFormatPr defaultRowHeight="18" x14ac:dyDescent="0.35"/>
  <cols>
    <col min="1" max="1" width="8.88671875" style="156"/>
    <col min="2" max="2" width="49.6640625" style="156" customWidth="1"/>
    <col min="3" max="3" width="18.33203125" style="156" customWidth="1"/>
    <col min="4" max="4" width="12.5546875" style="156" customWidth="1"/>
    <col min="5" max="5" width="12.88671875" style="156" customWidth="1"/>
    <col min="6" max="16384" width="8.88671875" style="156"/>
  </cols>
  <sheetData>
    <row r="1" spans="1:5" x14ac:dyDescent="0.35">
      <c r="A1" s="219" t="s">
        <v>433</v>
      </c>
      <c r="B1" s="219"/>
      <c r="C1" s="219"/>
      <c r="D1" s="219"/>
      <c r="E1" s="219"/>
    </row>
    <row r="2" spans="1:5" ht="18" customHeight="1" x14ac:dyDescent="0.35">
      <c r="A2" s="180" t="s">
        <v>358</v>
      </c>
      <c r="B2" s="180" t="s">
        <v>302</v>
      </c>
      <c r="C2" s="167" t="s">
        <v>340</v>
      </c>
      <c r="D2" s="180" t="s">
        <v>2</v>
      </c>
      <c r="E2" s="158" t="s">
        <v>4</v>
      </c>
    </row>
    <row r="3" spans="1:5" ht="40.799999999999997" customHeight="1" x14ac:dyDescent="0.35">
      <c r="A3" s="180">
        <v>1</v>
      </c>
      <c r="B3" s="176" t="s">
        <v>26</v>
      </c>
      <c r="C3" s="167" t="s">
        <v>44</v>
      </c>
      <c r="D3" s="180" t="s">
        <v>7</v>
      </c>
      <c r="E3" s="159">
        <v>298.10000000000002</v>
      </c>
    </row>
  </sheetData>
  <mergeCells count="1">
    <mergeCell ref="A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E3"/>
  <sheetViews>
    <sheetView zoomScale="85" zoomScaleNormal="85" workbookViewId="0">
      <selection activeCell="B8" sqref="B8"/>
    </sheetView>
  </sheetViews>
  <sheetFormatPr defaultRowHeight="18" x14ac:dyDescent="0.35"/>
  <cols>
    <col min="1" max="1" width="8.88671875" style="156"/>
    <col min="2" max="2" width="49.6640625" style="156" customWidth="1"/>
    <col min="3" max="3" width="18.33203125" style="156" customWidth="1"/>
    <col min="4" max="4" width="12.5546875" style="156" customWidth="1"/>
    <col min="5" max="5" width="12.88671875" style="156" customWidth="1"/>
    <col min="6" max="16384" width="8.88671875" style="156"/>
  </cols>
  <sheetData>
    <row r="1" spans="1:5" x14ac:dyDescent="0.35">
      <c r="A1" s="219" t="s">
        <v>433</v>
      </c>
      <c r="B1" s="219"/>
      <c r="C1" s="219"/>
      <c r="D1" s="219"/>
      <c r="E1" s="219"/>
    </row>
    <row r="2" spans="1:5" ht="18" customHeight="1" x14ac:dyDescent="0.35">
      <c r="A2" s="174" t="s">
        <v>358</v>
      </c>
      <c r="B2" s="174" t="s">
        <v>302</v>
      </c>
      <c r="C2" s="167" t="s">
        <v>340</v>
      </c>
      <c r="D2" s="174" t="s">
        <v>2</v>
      </c>
      <c r="E2" s="158" t="s">
        <v>4</v>
      </c>
    </row>
    <row r="3" spans="1:5" ht="40.799999999999997" customHeight="1" x14ac:dyDescent="0.35">
      <c r="A3" s="174">
        <v>1</v>
      </c>
      <c r="B3" s="176" t="s">
        <v>21</v>
      </c>
      <c r="C3" s="167" t="s">
        <v>40</v>
      </c>
      <c r="D3" s="174" t="s">
        <v>7</v>
      </c>
      <c r="E3" s="159">
        <v>46.52</v>
      </c>
    </row>
  </sheetData>
  <mergeCells count="1">
    <mergeCell ref="A1: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11"/>
  <sheetViews>
    <sheetView zoomScale="85" zoomScaleNormal="85" workbookViewId="0">
      <selection activeCell="B11" sqref="B11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26.21875" style="156" customWidth="1"/>
    <col min="4" max="4" width="18.3320312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9" t="s">
        <v>433</v>
      </c>
      <c r="B1" s="219"/>
      <c r="C1" s="219"/>
      <c r="D1" s="219"/>
      <c r="E1" s="219"/>
      <c r="F1" s="219"/>
    </row>
    <row r="2" spans="1:6" ht="18" customHeight="1" x14ac:dyDescent="0.35">
      <c r="A2" s="224" t="s">
        <v>302</v>
      </c>
      <c r="B2" s="225"/>
      <c r="C2" s="226"/>
      <c r="D2" s="167" t="s">
        <v>340</v>
      </c>
      <c r="E2" s="166" t="s">
        <v>2</v>
      </c>
      <c r="F2" s="158" t="s">
        <v>4</v>
      </c>
    </row>
    <row r="3" spans="1:6" ht="34.799999999999997" customHeight="1" x14ac:dyDescent="0.35">
      <c r="A3" s="227" t="s">
        <v>351</v>
      </c>
      <c r="B3" s="228"/>
      <c r="C3" s="229"/>
      <c r="D3" s="167" t="s">
        <v>353</v>
      </c>
      <c r="E3" s="166" t="s">
        <v>7</v>
      </c>
      <c r="F3" s="159">
        <f>F11</f>
        <v>115.60000000000001</v>
      </c>
    </row>
    <row r="4" spans="1:6" ht="34.799999999999997" customHeight="1" x14ac:dyDescent="0.35">
      <c r="A4" s="227" t="s">
        <v>351</v>
      </c>
      <c r="B4" s="228"/>
      <c r="C4" s="229"/>
      <c r="D4" s="167" t="s">
        <v>354</v>
      </c>
      <c r="E4" s="166" t="s">
        <v>7</v>
      </c>
      <c r="F4" s="159">
        <f>B11</f>
        <v>1888.15</v>
      </c>
    </row>
    <row r="5" spans="1:6" ht="34.799999999999997" customHeight="1" x14ac:dyDescent="0.35">
      <c r="A5" s="224" t="s">
        <v>342</v>
      </c>
      <c r="B5" s="226"/>
      <c r="C5" s="266"/>
      <c r="D5" s="267"/>
      <c r="E5" s="224" t="s">
        <v>352</v>
      </c>
      <c r="F5" s="226"/>
    </row>
    <row r="6" spans="1:6" ht="36" x14ac:dyDescent="0.35">
      <c r="A6" s="160" t="s">
        <v>317</v>
      </c>
      <c r="B6" s="160" t="s">
        <v>318</v>
      </c>
      <c r="C6" s="268"/>
      <c r="D6" s="269"/>
      <c r="E6" s="160" t="s">
        <v>317</v>
      </c>
      <c r="F6" s="160" t="s">
        <v>318</v>
      </c>
    </row>
    <row r="7" spans="1:6" x14ac:dyDescent="0.35">
      <c r="A7" s="161" t="s">
        <v>343</v>
      </c>
      <c r="B7" s="162">
        <v>379.31</v>
      </c>
      <c r="C7" s="268"/>
      <c r="D7" s="269"/>
      <c r="E7" s="161" t="s">
        <v>347</v>
      </c>
      <c r="F7" s="162">
        <v>37.200000000000003</v>
      </c>
    </row>
    <row r="8" spans="1:6" x14ac:dyDescent="0.35">
      <c r="A8" s="161" t="s">
        <v>344</v>
      </c>
      <c r="B8" s="162">
        <v>381.65</v>
      </c>
      <c r="C8" s="268"/>
      <c r="D8" s="269"/>
      <c r="E8" s="161" t="s">
        <v>348</v>
      </c>
      <c r="F8" s="162">
        <v>56.31</v>
      </c>
    </row>
    <row r="9" spans="1:6" x14ac:dyDescent="0.35">
      <c r="A9" s="161" t="s">
        <v>345</v>
      </c>
      <c r="B9" s="162">
        <v>563.46</v>
      </c>
      <c r="C9" s="268"/>
      <c r="D9" s="269"/>
      <c r="E9" s="161" t="s">
        <v>349</v>
      </c>
      <c r="F9" s="162">
        <v>10.119999999999999</v>
      </c>
    </row>
    <row r="10" spans="1:6" x14ac:dyDescent="0.35">
      <c r="A10" s="161" t="s">
        <v>346</v>
      </c>
      <c r="B10" s="162">
        <v>563.73</v>
      </c>
      <c r="C10" s="268"/>
      <c r="D10" s="269"/>
      <c r="E10" s="161" t="s">
        <v>350</v>
      </c>
      <c r="F10" s="162">
        <v>11.97</v>
      </c>
    </row>
    <row r="11" spans="1:6" x14ac:dyDescent="0.35">
      <c r="A11" s="163" t="s">
        <v>336</v>
      </c>
      <c r="B11" s="162">
        <f>SUM(B7:B10)</f>
        <v>1888.15</v>
      </c>
      <c r="C11" s="268"/>
      <c r="D11" s="269"/>
      <c r="E11" s="163" t="s">
        <v>336</v>
      </c>
      <c r="F11" s="162">
        <f>SUM(F7:F10)</f>
        <v>115.60000000000001</v>
      </c>
    </row>
  </sheetData>
  <mergeCells count="7">
    <mergeCell ref="A1:F1"/>
    <mergeCell ref="A2:C2"/>
    <mergeCell ref="A4:C4"/>
    <mergeCell ref="A3:C3"/>
    <mergeCell ref="C5:D11"/>
    <mergeCell ref="A5:B5"/>
    <mergeCell ref="E5:F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9"/>
  <sheetViews>
    <sheetView zoomScale="85" zoomScaleNormal="85" workbookViewId="0">
      <selection activeCell="B5" sqref="A5:B8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18.44140625" style="156" customWidth="1"/>
    <col min="4" max="4" width="17.2187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9" t="s">
        <v>433</v>
      </c>
      <c r="B1" s="219"/>
      <c r="C1" s="219"/>
      <c r="D1" s="219"/>
      <c r="E1" s="219"/>
      <c r="F1" s="219"/>
    </row>
    <row r="2" spans="1:6" ht="18" customHeight="1" x14ac:dyDescent="0.35">
      <c r="A2" s="224" t="s">
        <v>302</v>
      </c>
      <c r="B2" s="225"/>
      <c r="C2" s="226"/>
      <c r="D2" s="167" t="s">
        <v>340</v>
      </c>
      <c r="E2" s="166" t="s">
        <v>2</v>
      </c>
      <c r="F2" s="158" t="s">
        <v>4</v>
      </c>
    </row>
    <row r="3" spans="1:6" ht="57.6" customHeight="1" x14ac:dyDescent="0.35">
      <c r="A3" s="227" t="s">
        <v>356</v>
      </c>
      <c r="B3" s="228"/>
      <c r="C3" s="229"/>
      <c r="D3" s="167" t="s">
        <v>357</v>
      </c>
      <c r="E3" s="166" t="s">
        <v>7</v>
      </c>
      <c r="F3" s="159">
        <f>B9</f>
        <v>1923.9773</v>
      </c>
    </row>
    <row r="4" spans="1:6" ht="36" x14ac:dyDescent="0.35">
      <c r="A4" s="160" t="s">
        <v>317</v>
      </c>
      <c r="B4" s="160" t="s">
        <v>318</v>
      </c>
      <c r="C4" s="262"/>
      <c r="D4" s="263"/>
      <c r="E4" s="263"/>
      <c r="F4" s="263"/>
    </row>
    <row r="5" spans="1:6" x14ac:dyDescent="0.35">
      <c r="A5" s="161" t="s">
        <v>343</v>
      </c>
      <c r="B5" s="162">
        <f>379.31+(84.163-4)*0.1</f>
        <v>387.3263</v>
      </c>
      <c r="C5" s="264"/>
      <c r="D5" s="265"/>
      <c r="E5" s="265"/>
      <c r="F5" s="265"/>
    </row>
    <row r="6" spans="1:6" x14ac:dyDescent="0.35">
      <c r="A6" s="161" t="s">
        <v>344</v>
      </c>
      <c r="B6" s="162">
        <f>381.65+(83.53-2.2-1.8)*0.1</f>
        <v>389.60299999999995</v>
      </c>
      <c r="C6" s="264"/>
      <c r="D6" s="265"/>
      <c r="E6" s="265"/>
      <c r="F6" s="265"/>
    </row>
    <row r="7" spans="1:6" x14ac:dyDescent="0.35">
      <c r="A7" s="161" t="s">
        <v>345</v>
      </c>
      <c r="B7" s="162">
        <f>563.46+(102.28-1.5-2.2)*0.1</f>
        <v>573.31799999999998</v>
      </c>
      <c r="C7" s="264"/>
      <c r="D7" s="265"/>
      <c r="E7" s="265"/>
      <c r="F7" s="265"/>
    </row>
    <row r="8" spans="1:6" x14ac:dyDescent="0.35">
      <c r="A8" s="161" t="s">
        <v>346</v>
      </c>
      <c r="B8" s="162">
        <f>563.73+10</f>
        <v>573.73</v>
      </c>
      <c r="C8" s="264"/>
      <c r="D8" s="265"/>
      <c r="E8" s="265"/>
      <c r="F8" s="265"/>
    </row>
    <row r="9" spans="1:6" x14ac:dyDescent="0.35">
      <c r="A9" s="163" t="s">
        <v>336</v>
      </c>
      <c r="B9" s="162">
        <f>SUM(B5:B8)</f>
        <v>1923.9773</v>
      </c>
      <c r="C9" s="264"/>
      <c r="D9" s="265"/>
      <c r="E9" s="265"/>
      <c r="F9" s="265"/>
    </row>
  </sheetData>
  <mergeCells count="4">
    <mergeCell ref="A1:F1"/>
    <mergeCell ref="A2:C2"/>
    <mergeCell ref="A3:C3"/>
    <mergeCell ref="C4:F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R57"/>
  <sheetViews>
    <sheetView zoomScale="55" zoomScaleNormal="55" workbookViewId="0">
      <selection activeCell="N49" sqref="N49:O49"/>
    </sheetView>
  </sheetViews>
  <sheetFormatPr defaultRowHeight="18" x14ac:dyDescent="0.35"/>
  <cols>
    <col min="1" max="2" width="11.5546875" style="156" customWidth="1"/>
    <col min="3" max="3" width="17.109375" style="156" customWidth="1"/>
    <col min="4" max="4" width="14.109375" style="156" customWidth="1"/>
    <col min="5" max="5" width="2.21875" style="156" customWidth="1"/>
    <col min="6" max="6" width="3.6640625" style="156" customWidth="1"/>
    <col min="7" max="7" width="37.5546875" style="156" customWidth="1"/>
    <col min="8" max="8" width="12.5546875" style="156" customWidth="1"/>
    <col min="9" max="9" width="12.88671875" style="156" customWidth="1"/>
    <col min="10" max="11" width="8.88671875" style="156"/>
    <col min="12" max="12" width="10" style="156" bestFit="1" customWidth="1"/>
    <col min="13" max="13" width="10.77734375" style="156" bestFit="1" customWidth="1"/>
    <col min="14" max="16384" width="8.88671875" style="156"/>
  </cols>
  <sheetData>
    <row r="1" spans="1:13" x14ac:dyDescent="0.35">
      <c r="A1" s="219" t="s">
        <v>433</v>
      </c>
      <c r="B1" s="219"/>
      <c r="C1" s="219"/>
      <c r="D1" s="219"/>
      <c r="E1" s="219"/>
      <c r="F1" s="219"/>
      <c r="G1" s="219"/>
      <c r="H1" s="219"/>
      <c r="I1" s="219"/>
    </row>
    <row r="2" spans="1:13" ht="18" customHeight="1" x14ac:dyDescent="0.35">
      <c r="A2" s="180" t="s">
        <v>358</v>
      </c>
      <c r="B2" s="181" t="s">
        <v>365</v>
      </c>
      <c r="C2" s="224" t="s">
        <v>302</v>
      </c>
      <c r="D2" s="225"/>
      <c r="E2" s="225"/>
      <c r="F2" s="226"/>
      <c r="G2" s="167" t="s">
        <v>340</v>
      </c>
      <c r="H2" s="180" t="s">
        <v>2</v>
      </c>
      <c r="I2" s="158" t="s">
        <v>4</v>
      </c>
    </row>
    <row r="3" spans="1:13" ht="53.4" customHeight="1" x14ac:dyDescent="0.35">
      <c r="A3" s="180">
        <v>1</v>
      </c>
      <c r="B3" s="181">
        <v>48</v>
      </c>
      <c r="C3" s="227" t="s">
        <v>14</v>
      </c>
      <c r="D3" s="228"/>
      <c r="E3" s="228"/>
      <c r="F3" s="229"/>
      <c r="G3" s="167" t="s">
        <v>386</v>
      </c>
      <c r="H3" s="180" t="s">
        <v>7</v>
      </c>
      <c r="I3" s="159">
        <f>D9</f>
        <v>84.51</v>
      </c>
    </row>
    <row r="4" spans="1:13" x14ac:dyDescent="0.35">
      <c r="A4" s="217"/>
      <c r="B4" s="217"/>
      <c r="C4" s="217"/>
      <c r="D4" s="217"/>
      <c r="E4" s="217"/>
      <c r="F4" s="217"/>
      <c r="G4" s="217"/>
      <c r="H4" s="217"/>
      <c r="I4" s="217"/>
    </row>
    <row r="5" spans="1:13" x14ac:dyDescent="0.35">
      <c r="A5" s="163" t="s">
        <v>360</v>
      </c>
      <c r="B5" s="163" t="s">
        <v>367</v>
      </c>
      <c r="C5" s="163" t="s">
        <v>36</v>
      </c>
      <c r="D5" s="163" t="s">
        <v>361</v>
      </c>
      <c r="E5" s="233"/>
      <c r="F5" s="216"/>
      <c r="G5" s="216"/>
      <c r="H5" s="216"/>
      <c r="I5" s="216"/>
    </row>
    <row r="6" spans="1:13" x14ac:dyDescent="0.35">
      <c r="A6" s="163">
        <v>1</v>
      </c>
      <c r="B6" s="163" t="s">
        <v>377</v>
      </c>
      <c r="C6" s="183" t="s">
        <v>374</v>
      </c>
      <c r="D6" s="163">
        <v>25.93</v>
      </c>
      <c r="E6" s="233"/>
      <c r="F6" s="216"/>
      <c r="G6" s="216"/>
      <c r="H6" s="216"/>
      <c r="I6" s="216"/>
    </row>
    <row r="7" spans="1:13" x14ac:dyDescent="0.35">
      <c r="A7" s="163" t="s">
        <v>100</v>
      </c>
      <c r="B7" s="163" t="s">
        <v>378</v>
      </c>
      <c r="C7" s="183" t="s">
        <v>375</v>
      </c>
      <c r="D7" s="163">
        <v>29.32</v>
      </c>
      <c r="E7" s="233"/>
      <c r="F7" s="216"/>
      <c r="G7" s="216"/>
      <c r="H7" s="216"/>
      <c r="I7" s="216"/>
    </row>
    <row r="8" spans="1:13" x14ac:dyDescent="0.35">
      <c r="A8" s="163" t="s">
        <v>100</v>
      </c>
      <c r="B8" s="163" t="s">
        <v>379</v>
      </c>
      <c r="C8" s="183" t="s">
        <v>376</v>
      </c>
      <c r="D8" s="163">
        <v>29.26</v>
      </c>
      <c r="E8" s="233"/>
      <c r="F8" s="216"/>
      <c r="G8" s="216"/>
      <c r="H8" s="216"/>
      <c r="I8" s="216"/>
    </row>
    <row r="9" spans="1:13" x14ac:dyDescent="0.35">
      <c r="C9" s="182" t="s">
        <v>364</v>
      </c>
      <c r="D9" s="163">
        <f>SUM(D6:D8)</f>
        <v>84.51</v>
      </c>
      <c r="E9" s="233"/>
      <c r="F9" s="216"/>
      <c r="G9" s="216"/>
      <c r="H9" s="216"/>
      <c r="I9" s="216"/>
    </row>
    <row r="15" spans="1:13" x14ac:dyDescent="0.35">
      <c r="K15" s="185">
        <v>1</v>
      </c>
      <c r="L15" s="156">
        <v>1</v>
      </c>
      <c r="M15" s="185" t="s">
        <v>100</v>
      </c>
    </row>
    <row r="16" spans="1:13" x14ac:dyDescent="0.35">
      <c r="K16" s="185">
        <v>5</v>
      </c>
      <c r="L16" s="156">
        <v>1.65</v>
      </c>
      <c r="M16" s="156">
        <v>2.2400000000000002</v>
      </c>
    </row>
    <row r="17" spans="1:13" x14ac:dyDescent="0.35">
      <c r="A17" s="156">
        <v>1</v>
      </c>
      <c r="B17" s="156" t="s">
        <v>380</v>
      </c>
      <c r="C17" s="156">
        <v>5</v>
      </c>
      <c r="D17" s="156">
        <v>5.24</v>
      </c>
      <c r="K17" s="185">
        <v>6</v>
      </c>
      <c r="L17" s="156">
        <v>13.62</v>
      </c>
      <c r="M17" s="156">
        <v>759.68</v>
      </c>
    </row>
    <row r="18" spans="1:13" x14ac:dyDescent="0.35">
      <c r="K18" s="185">
        <v>7</v>
      </c>
      <c r="L18" s="156">
        <v>43.82</v>
      </c>
      <c r="M18" s="156">
        <v>61.15</v>
      </c>
    </row>
    <row r="19" spans="1:13" x14ac:dyDescent="0.35">
      <c r="K19" s="185" t="s">
        <v>381</v>
      </c>
      <c r="L19" s="156">
        <v>0</v>
      </c>
      <c r="M19" s="156">
        <v>23.92</v>
      </c>
    </row>
    <row r="20" spans="1:13" x14ac:dyDescent="0.35">
      <c r="K20" s="185" t="s">
        <v>382</v>
      </c>
      <c r="L20" s="156">
        <v>8.5500000000000007</v>
      </c>
      <c r="M20" s="156">
        <v>0</v>
      </c>
    </row>
    <row r="21" spans="1:13" x14ac:dyDescent="0.35">
      <c r="K21" s="185" t="s">
        <v>383</v>
      </c>
      <c r="L21" s="156">
        <v>936.68</v>
      </c>
      <c r="M21" s="156">
        <v>453.05</v>
      </c>
    </row>
    <row r="22" spans="1:13" x14ac:dyDescent="0.35">
      <c r="K22" s="185" t="s">
        <v>384</v>
      </c>
    </row>
    <row r="23" spans="1:13" x14ac:dyDescent="0.35">
      <c r="K23" s="185"/>
    </row>
    <row r="24" spans="1:13" x14ac:dyDescent="0.35">
      <c r="K24" s="185"/>
    </row>
    <row r="27" spans="1:13" x14ac:dyDescent="0.35">
      <c r="K27" s="185" t="s">
        <v>385</v>
      </c>
      <c r="L27" s="156">
        <v>1</v>
      </c>
      <c r="M27" s="185" t="s">
        <v>100</v>
      </c>
    </row>
    <row r="28" spans="1:13" x14ac:dyDescent="0.35">
      <c r="K28" s="185">
        <v>5</v>
      </c>
      <c r="L28" s="156">
        <v>1.52</v>
      </c>
      <c r="M28" s="156">
        <v>2.2799999999999998</v>
      </c>
    </row>
    <row r="29" spans="1:13" x14ac:dyDescent="0.35">
      <c r="K29" s="185">
        <v>6</v>
      </c>
      <c r="L29" s="156">
        <v>13.62</v>
      </c>
      <c r="M29" s="156">
        <v>76.59</v>
      </c>
    </row>
    <row r="30" spans="1:13" x14ac:dyDescent="0.35">
      <c r="K30" s="185">
        <v>7</v>
      </c>
    </row>
    <row r="31" spans="1:13" x14ac:dyDescent="0.35">
      <c r="K31" s="185" t="s">
        <v>381</v>
      </c>
    </row>
    <row r="32" spans="1:13" x14ac:dyDescent="0.35">
      <c r="K32" s="185" t="s">
        <v>382</v>
      </c>
    </row>
    <row r="33" spans="11:16" x14ac:dyDescent="0.35">
      <c r="K33" s="185" t="s">
        <v>383</v>
      </c>
    </row>
    <row r="34" spans="11:16" x14ac:dyDescent="0.35">
      <c r="K34" s="185" t="s">
        <v>384</v>
      </c>
    </row>
    <row r="42" spans="11:16" x14ac:dyDescent="0.35">
      <c r="K42" s="185">
        <v>6</v>
      </c>
      <c r="L42" s="156">
        <v>773.3</v>
      </c>
      <c r="M42" s="156">
        <v>433.72</v>
      </c>
      <c r="N42" s="156">
        <f>238.43+83.81</f>
        <v>322.24</v>
      </c>
      <c r="P42" s="156">
        <f t="shared" ref="P42:P47" si="0">L42-M42-N42</f>
        <v>17.339999999999918</v>
      </c>
    </row>
    <row r="43" spans="11:16" x14ac:dyDescent="0.35">
      <c r="K43" s="185" t="s">
        <v>392</v>
      </c>
      <c r="L43" s="156">
        <v>118.91</v>
      </c>
      <c r="P43" s="156">
        <f t="shared" si="0"/>
        <v>118.91</v>
      </c>
    </row>
    <row r="44" spans="11:16" x14ac:dyDescent="0.35">
      <c r="K44" s="185" t="s">
        <v>393</v>
      </c>
      <c r="L44" s="156">
        <v>104.97</v>
      </c>
      <c r="M44" s="156">
        <v>7.73</v>
      </c>
      <c r="P44" s="156">
        <f t="shared" si="0"/>
        <v>97.24</v>
      </c>
    </row>
    <row r="45" spans="11:16" x14ac:dyDescent="0.35">
      <c r="K45" s="185" t="s">
        <v>370</v>
      </c>
      <c r="L45" s="156">
        <v>46.62</v>
      </c>
      <c r="M45" s="156">
        <v>46.52</v>
      </c>
      <c r="P45" s="156">
        <f t="shared" si="0"/>
        <v>9.9999999999994316E-2</v>
      </c>
    </row>
    <row r="46" spans="11:16" x14ac:dyDescent="0.35">
      <c r="K46" s="185" t="s">
        <v>101</v>
      </c>
      <c r="L46" s="156">
        <v>210.29</v>
      </c>
      <c r="N46" s="156">
        <f>454.37-N42</f>
        <v>132.13</v>
      </c>
      <c r="P46" s="156">
        <f t="shared" si="0"/>
        <v>78.16</v>
      </c>
    </row>
    <row r="47" spans="11:16" x14ac:dyDescent="0.35">
      <c r="K47" s="185" t="s">
        <v>415</v>
      </c>
      <c r="L47" s="156">
        <v>436.11</v>
      </c>
      <c r="P47" s="156">
        <f t="shared" si="0"/>
        <v>436.11</v>
      </c>
    </row>
    <row r="48" spans="11:16" x14ac:dyDescent="0.35">
      <c r="K48" s="185"/>
    </row>
    <row r="49" spans="11:18" x14ac:dyDescent="0.35">
      <c r="K49" s="185"/>
      <c r="N49" s="156">
        <f>SUM(N42:N48)</f>
        <v>454.37</v>
      </c>
      <c r="O49" s="193">
        <f>'7.8Пл6'!D9</f>
        <v>435.32</v>
      </c>
      <c r="Q49" s="193">
        <f>R49-N49</f>
        <v>435.32000000000005</v>
      </c>
      <c r="R49" s="156">
        <v>889.69</v>
      </c>
    </row>
    <row r="50" spans="11:18" x14ac:dyDescent="0.35">
      <c r="K50" s="185"/>
    </row>
    <row r="51" spans="11:18" x14ac:dyDescent="0.35">
      <c r="K51" s="185"/>
      <c r="L51" s="156">
        <v>1</v>
      </c>
      <c r="M51" s="156">
        <v>1</v>
      </c>
      <c r="N51" s="156">
        <v>2</v>
      </c>
      <c r="O51" s="156">
        <v>2</v>
      </c>
      <c r="P51" s="156">
        <v>3</v>
      </c>
      <c r="Q51" s="156">
        <v>3</v>
      </c>
    </row>
    <row r="52" spans="11:18" x14ac:dyDescent="0.35">
      <c r="K52" s="185"/>
      <c r="L52" s="185">
        <v>1</v>
      </c>
      <c r="M52" s="185" t="s">
        <v>100</v>
      </c>
      <c r="N52" s="185">
        <v>1</v>
      </c>
      <c r="O52" s="185" t="s">
        <v>100</v>
      </c>
      <c r="P52" s="185">
        <v>1</v>
      </c>
      <c r="Q52" s="185" t="s">
        <v>100</v>
      </c>
    </row>
    <row r="53" spans="11:18" x14ac:dyDescent="0.35">
      <c r="K53" s="185">
        <v>6</v>
      </c>
      <c r="L53" s="156">
        <v>13.62</v>
      </c>
      <c r="M53" s="191">
        <v>758.84</v>
      </c>
      <c r="N53" s="156">
        <v>0</v>
      </c>
      <c r="O53" s="156">
        <v>0</v>
      </c>
      <c r="P53" s="156">
        <v>0</v>
      </c>
      <c r="Q53" s="156">
        <v>0</v>
      </c>
    </row>
    <row r="54" spans="11:18" x14ac:dyDescent="0.35">
      <c r="K54" s="185" t="s">
        <v>392</v>
      </c>
      <c r="L54" s="156">
        <v>0</v>
      </c>
      <c r="M54" s="156">
        <v>0</v>
      </c>
      <c r="N54" s="156">
        <v>13.62</v>
      </c>
      <c r="O54" s="156">
        <v>76.59</v>
      </c>
      <c r="P54" s="156">
        <v>13.62</v>
      </c>
      <c r="Q54" s="156">
        <v>15.08</v>
      </c>
    </row>
    <row r="55" spans="11:18" x14ac:dyDescent="0.35">
      <c r="K55" s="185" t="s">
        <v>393</v>
      </c>
      <c r="L55" s="156">
        <v>43.85</v>
      </c>
      <c r="M55" s="156">
        <v>14.52</v>
      </c>
      <c r="N55" s="156">
        <v>0</v>
      </c>
      <c r="O55" s="156">
        <v>0</v>
      </c>
      <c r="P55" s="156">
        <v>0</v>
      </c>
      <c r="Q55" s="156">
        <v>0</v>
      </c>
    </row>
    <row r="56" spans="11:18" x14ac:dyDescent="0.35">
      <c r="K56" s="185" t="s">
        <v>370</v>
      </c>
      <c r="L56" s="156">
        <v>0</v>
      </c>
      <c r="M56" s="191">
        <v>46.62</v>
      </c>
      <c r="N56" s="156">
        <v>0</v>
      </c>
      <c r="O56" s="156">
        <v>0</v>
      </c>
      <c r="P56" s="156">
        <v>0</v>
      </c>
      <c r="Q56" s="156">
        <v>0</v>
      </c>
    </row>
    <row r="57" spans="11:18" x14ac:dyDescent="0.35">
      <c r="K57" s="185" t="s">
        <v>101</v>
      </c>
      <c r="L57" s="156">
        <v>0</v>
      </c>
      <c r="M57" s="156">
        <v>0</v>
      </c>
      <c r="N57" s="156">
        <v>43.43</v>
      </c>
      <c r="O57" s="156">
        <v>119.37</v>
      </c>
      <c r="P57" s="156">
        <v>43.43</v>
      </c>
      <c r="Q57" s="156">
        <v>0</v>
      </c>
    </row>
  </sheetData>
  <mergeCells count="5">
    <mergeCell ref="A1:I1"/>
    <mergeCell ref="C2:F2"/>
    <mergeCell ref="C3:F3"/>
    <mergeCell ref="A4:I4"/>
    <mergeCell ref="E5:I9"/>
  </mergeCells>
  <pageMargins left="0.7" right="0.7" top="0.75" bottom="0.75" header="0.3" footer="0.3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9"/>
  <sheetViews>
    <sheetView zoomScale="85" zoomScaleNormal="85" workbookViewId="0">
      <selection activeCell="C4" sqref="A1:F9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23" style="156" customWidth="1"/>
    <col min="4" max="4" width="12.8867187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9" t="s">
        <v>433</v>
      </c>
      <c r="B1" s="219"/>
      <c r="C1" s="219"/>
      <c r="D1" s="219"/>
      <c r="E1" s="219"/>
      <c r="F1" s="219"/>
    </row>
    <row r="2" spans="1:6" ht="18" customHeight="1" x14ac:dyDescent="0.35">
      <c r="A2" s="224" t="s">
        <v>302</v>
      </c>
      <c r="B2" s="225"/>
      <c r="C2" s="226"/>
      <c r="D2" s="167" t="s">
        <v>340</v>
      </c>
      <c r="E2" s="173" t="s">
        <v>2</v>
      </c>
      <c r="F2" s="158" t="s">
        <v>4</v>
      </c>
    </row>
    <row r="3" spans="1:6" ht="34.799999999999997" customHeight="1" x14ac:dyDescent="0.35">
      <c r="A3" s="227" t="s">
        <v>14</v>
      </c>
      <c r="B3" s="228"/>
      <c r="C3" s="229"/>
      <c r="D3" s="167" t="s">
        <v>342</v>
      </c>
      <c r="E3" s="173" t="s">
        <v>7</v>
      </c>
      <c r="F3" s="159">
        <f>B9</f>
        <v>115.60000000000001</v>
      </c>
    </row>
    <row r="4" spans="1:6" ht="36" x14ac:dyDescent="0.35">
      <c r="A4" s="160" t="s">
        <v>317</v>
      </c>
      <c r="B4" s="160" t="s">
        <v>318</v>
      </c>
      <c r="C4" s="262"/>
      <c r="D4" s="263"/>
      <c r="E4" s="263"/>
      <c r="F4" s="263"/>
    </row>
    <row r="5" spans="1:6" x14ac:dyDescent="0.35">
      <c r="A5" s="161" t="s">
        <v>347</v>
      </c>
      <c r="B5" s="162">
        <v>37.200000000000003</v>
      </c>
      <c r="C5" s="264"/>
      <c r="D5" s="265"/>
      <c r="E5" s="265"/>
      <c r="F5" s="265"/>
    </row>
    <row r="6" spans="1:6" x14ac:dyDescent="0.35">
      <c r="A6" s="161" t="s">
        <v>348</v>
      </c>
      <c r="B6" s="162">
        <v>56.31</v>
      </c>
      <c r="C6" s="264"/>
      <c r="D6" s="265"/>
      <c r="E6" s="265"/>
      <c r="F6" s="265"/>
    </row>
    <row r="7" spans="1:6" x14ac:dyDescent="0.35">
      <c r="A7" s="161" t="s">
        <v>349</v>
      </c>
      <c r="B7" s="162">
        <v>10.119999999999999</v>
      </c>
      <c r="C7" s="264"/>
      <c r="D7" s="265"/>
      <c r="E7" s="265"/>
      <c r="F7" s="265"/>
    </row>
    <row r="8" spans="1:6" x14ac:dyDescent="0.35">
      <c r="A8" s="161" t="s">
        <v>350</v>
      </c>
      <c r="B8" s="162">
        <v>11.97</v>
      </c>
      <c r="C8" s="264"/>
      <c r="D8" s="265"/>
      <c r="E8" s="265"/>
      <c r="F8" s="265"/>
    </row>
    <row r="9" spans="1:6" x14ac:dyDescent="0.35">
      <c r="A9" s="163" t="s">
        <v>336</v>
      </c>
      <c r="B9" s="162">
        <f>SUM(B5:B8)</f>
        <v>115.60000000000001</v>
      </c>
      <c r="C9" s="264"/>
      <c r="D9" s="265"/>
      <c r="E9" s="265"/>
      <c r="F9" s="265"/>
    </row>
  </sheetData>
  <mergeCells count="4">
    <mergeCell ref="A1:F1"/>
    <mergeCell ref="A2:C2"/>
    <mergeCell ref="A3:C3"/>
    <mergeCell ref="C4:F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85" zoomScaleNormal="85" workbookViewId="0">
      <selection activeCell="A13" sqref="A13:F13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12.5546875" style="156" customWidth="1"/>
    <col min="4" max="4" width="12.8867187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8" t="s">
        <v>337</v>
      </c>
      <c r="B1" s="218"/>
      <c r="C1" s="234"/>
      <c r="D1" s="234"/>
      <c r="E1" s="234"/>
      <c r="F1" s="234"/>
    </row>
    <row r="2" spans="1:6" ht="36" x14ac:dyDescent="0.35">
      <c r="A2" s="160" t="s">
        <v>317</v>
      </c>
      <c r="B2" s="160" t="s">
        <v>318</v>
      </c>
      <c r="C2" s="168"/>
      <c r="D2" s="168"/>
      <c r="E2" s="168"/>
      <c r="F2" s="168"/>
    </row>
    <row r="3" spans="1:6" x14ac:dyDescent="0.35">
      <c r="A3" s="161" t="s">
        <v>319</v>
      </c>
      <c r="B3" s="162">
        <v>113.98</v>
      </c>
      <c r="C3" s="169"/>
      <c r="D3" s="170"/>
      <c r="E3" s="169"/>
      <c r="F3" s="170"/>
    </row>
    <row r="4" spans="1:6" x14ac:dyDescent="0.35">
      <c r="A4" s="161" t="s">
        <v>320</v>
      </c>
      <c r="B4" s="162">
        <v>68.63</v>
      </c>
      <c r="C4" s="169"/>
      <c r="D4" s="170"/>
      <c r="E4" s="169"/>
      <c r="F4" s="170"/>
    </row>
    <row r="5" spans="1:6" x14ac:dyDescent="0.35">
      <c r="A5" s="161" t="s">
        <v>321</v>
      </c>
      <c r="B5" s="162">
        <v>69.02</v>
      </c>
      <c r="C5" s="169"/>
      <c r="D5" s="170"/>
      <c r="E5" s="169"/>
      <c r="F5" s="170"/>
    </row>
    <row r="6" spans="1:6" x14ac:dyDescent="0.35">
      <c r="A6" s="161" t="s">
        <v>322</v>
      </c>
      <c r="B6" s="162">
        <v>68.94</v>
      </c>
      <c r="C6" s="169"/>
      <c r="D6" s="170"/>
      <c r="E6" s="169"/>
      <c r="F6" s="170"/>
    </row>
    <row r="7" spans="1:6" x14ac:dyDescent="0.35">
      <c r="A7" s="161" t="s">
        <v>323</v>
      </c>
      <c r="B7" s="162">
        <v>68.849999999999994</v>
      </c>
      <c r="C7" s="169"/>
      <c r="D7" s="170"/>
      <c r="E7" s="169"/>
      <c r="F7" s="170"/>
    </row>
    <row r="8" spans="1:6" x14ac:dyDescent="0.35">
      <c r="A8" s="161" t="s">
        <v>324</v>
      </c>
      <c r="B8" s="162">
        <v>67.86</v>
      </c>
      <c r="C8" s="169"/>
      <c r="D8" s="170"/>
      <c r="E8" s="169"/>
      <c r="F8" s="170"/>
    </row>
    <row r="9" spans="1:6" x14ac:dyDescent="0.35">
      <c r="A9" s="161" t="s">
        <v>334</v>
      </c>
      <c r="B9" s="162">
        <v>139.03</v>
      </c>
      <c r="C9" s="169"/>
      <c r="D9" s="170"/>
      <c r="E9" s="169"/>
      <c r="F9" s="170"/>
    </row>
    <row r="10" spans="1:6" x14ac:dyDescent="0.35">
      <c r="A10" s="163" t="s">
        <v>336</v>
      </c>
      <c r="B10" s="162">
        <f>SUM(B3:B9)</f>
        <v>596.30999999999995</v>
      </c>
      <c r="C10" s="171"/>
      <c r="D10" s="170"/>
      <c r="E10" s="171"/>
      <c r="F10" s="170"/>
    </row>
    <row r="11" spans="1:6" x14ac:dyDescent="0.35">
      <c r="C11" s="172"/>
      <c r="D11" s="172"/>
      <c r="E11" s="171"/>
      <c r="F11" s="170"/>
    </row>
    <row r="13" spans="1:6" x14ac:dyDescent="0.35">
      <c r="A13" s="219" t="s">
        <v>433</v>
      </c>
      <c r="B13" s="219"/>
      <c r="C13" s="219"/>
      <c r="D13" s="219"/>
      <c r="E13" s="219"/>
      <c r="F13" s="219"/>
    </row>
    <row r="14" spans="1:6" ht="18" customHeight="1" x14ac:dyDescent="0.35">
      <c r="A14" s="224" t="s">
        <v>302</v>
      </c>
      <c r="B14" s="225"/>
      <c r="C14" s="226"/>
      <c r="D14" s="167" t="s">
        <v>340</v>
      </c>
      <c r="E14" s="164" t="s">
        <v>2</v>
      </c>
      <c r="F14" s="158" t="s">
        <v>4</v>
      </c>
    </row>
    <row r="15" spans="1:6" ht="89.4" customHeight="1" x14ac:dyDescent="0.35">
      <c r="A15" s="224" t="s">
        <v>14</v>
      </c>
      <c r="B15" s="225"/>
      <c r="C15" s="226"/>
      <c r="D15" s="167" t="s">
        <v>341</v>
      </c>
      <c r="E15" s="164" t="s">
        <v>7</v>
      </c>
      <c r="F15" s="159">
        <f>B10</f>
        <v>596.30999999999995</v>
      </c>
    </row>
  </sheetData>
  <mergeCells count="6">
    <mergeCell ref="A15:C15"/>
    <mergeCell ref="A1:B1"/>
    <mergeCell ref="C1:D1"/>
    <mergeCell ref="E1:F1"/>
    <mergeCell ref="A13:F13"/>
    <mergeCell ref="A14:C1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85" zoomScaleNormal="85" workbookViewId="0">
      <selection activeCell="C11" sqref="C3:C11"/>
    </sheetView>
  </sheetViews>
  <sheetFormatPr defaultRowHeight="18" x14ac:dyDescent="0.35"/>
  <cols>
    <col min="1" max="1" width="12.5546875" style="156" customWidth="1"/>
    <col min="2" max="2" width="12.88671875" style="156" customWidth="1"/>
    <col min="3" max="3" width="12.5546875" style="156" customWidth="1"/>
    <col min="4" max="4" width="12.88671875" style="156" customWidth="1"/>
    <col min="5" max="5" width="12.5546875" style="156" customWidth="1"/>
    <col min="6" max="6" width="12.88671875" style="156" customWidth="1"/>
    <col min="7" max="16384" width="8.88671875" style="156"/>
  </cols>
  <sheetData>
    <row r="1" spans="1:6" x14ac:dyDescent="0.35">
      <c r="A1" s="218" t="s">
        <v>337</v>
      </c>
      <c r="B1" s="218"/>
      <c r="C1" s="218" t="s">
        <v>338</v>
      </c>
      <c r="D1" s="218"/>
      <c r="E1" s="218" t="s">
        <v>339</v>
      </c>
      <c r="F1" s="218"/>
    </row>
    <row r="2" spans="1:6" ht="36" x14ac:dyDescent="0.35">
      <c r="A2" s="160" t="s">
        <v>317</v>
      </c>
      <c r="B2" s="160" t="s">
        <v>318</v>
      </c>
      <c r="C2" s="160" t="s">
        <v>317</v>
      </c>
      <c r="D2" s="160" t="s">
        <v>318</v>
      </c>
      <c r="E2" s="160" t="s">
        <v>317</v>
      </c>
      <c r="F2" s="160" t="s">
        <v>318</v>
      </c>
    </row>
    <row r="3" spans="1:6" x14ac:dyDescent="0.35">
      <c r="A3" s="161" t="s">
        <v>319</v>
      </c>
      <c r="B3" s="162">
        <v>113.98</v>
      </c>
      <c r="C3" s="161" t="s">
        <v>53</v>
      </c>
      <c r="D3" s="162">
        <v>73.599999999999994</v>
      </c>
      <c r="E3" s="161" t="s">
        <v>325</v>
      </c>
      <c r="F3" s="162">
        <v>73.14</v>
      </c>
    </row>
    <row r="4" spans="1:6" x14ac:dyDescent="0.35">
      <c r="A4" s="161" t="s">
        <v>320</v>
      </c>
      <c r="B4" s="162">
        <v>68.63</v>
      </c>
      <c r="C4" s="161" t="s">
        <v>54</v>
      </c>
      <c r="D4" s="162">
        <v>72.22</v>
      </c>
      <c r="E4" s="161" t="s">
        <v>326</v>
      </c>
      <c r="F4" s="162">
        <v>71.83</v>
      </c>
    </row>
    <row r="5" spans="1:6" x14ac:dyDescent="0.35">
      <c r="A5" s="161" t="s">
        <v>321</v>
      </c>
      <c r="B5" s="162">
        <v>69.02</v>
      </c>
      <c r="C5" s="161" t="s">
        <v>55</v>
      </c>
      <c r="D5" s="162">
        <v>68.37</v>
      </c>
      <c r="E5" s="161" t="s">
        <v>327</v>
      </c>
      <c r="F5" s="162">
        <v>67.760000000000005</v>
      </c>
    </row>
    <row r="6" spans="1:6" x14ac:dyDescent="0.35">
      <c r="A6" s="161" t="s">
        <v>322</v>
      </c>
      <c r="B6" s="162">
        <v>68.94</v>
      </c>
      <c r="C6" s="161" t="s">
        <v>58</v>
      </c>
      <c r="D6" s="162">
        <v>68.25</v>
      </c>
      <c r="E6" s="161" t="s">
        <v>328</v>
      </c>
      <c r="F6" s="162">
        <v>67.77</v>
      </c>
    </row>
    <row r="7" spans="1:6" x14ac:dyDescent="0.35">
      <c r="A7" s="161" t="s">
        <v>323</v>
      </c>
      <c r="B7" s="162">
        <v>68.849999999999994</v>
      </c>
      <c r="C7" s="161" t="s">
        <v>59</v>
      </c>
      <c r="D7" s="162">
        <v>67.709999999999994</v>
      </c>
      <c r="E7" s="161" t="s">
        <v>329</v>
      </c>
      <c r="F7" s="162">
        <v>68.069999999999993</v>
      </c>
    </row>
    <row r="8" spans="1:6" x14ac:dyDescent="0.35">
      <c r="A8" s="161" t="s">
        <v>324</v>
      </c>
      <c r="B8" s="162">
        <v>67.86</v>
      </c>
      <c r="C8" s="161" t="s">
        <v>60</v>
      </c>
      <c r="D8" s="162">
        <v>68.44</v>
      </c>
      <c r="E8" s="161" t="s">
        <v>330</v>
      </c>
      <c r="F8" s="162">
        <v>67.959999999999994</v>
      </c>
    </row>
    <row r="9" spans="1:6" x14ac:dyDescent="0.35">
      <c r="A9" s="161" t="s">
        <v>334</v>
      </c>
      <c r="B9" s="162">
        <v>139.03</v>
      </c>
      <c r="C9" s="161" t="s">
        <v>61</v>
      </c>
      <c r="D9" s="162">
        <v>67.41</v>
      </c>
      <c r="E9" s="161" t="s">
        <v>331</v>
      </c>
      <c r="F9" s="162">
        <v>67.09</v>
      </c>
    </row>
    <row r="10" spans="1:6" x14ac:dyDescent="0.35">
      <c r="A10" s="161"/>
      <c r="B10" s="162"/>
      <c r="C10" s="161" t="s">
        <v>62</v>
      </c>
      <c r="D10" s="162">
        <v>68.59</v>
      </c>
      <c r="E10" s="161" t="s">
        <v>332</v>
      </c>
      <c r="F10" s="162">
        <v>68.099999999999994</v>
      </c>
    </row>
    <row r="11" spans="1:6" x14ac:dyDescent="0.35">
      <c r="A11" s="161"/>
      <c r="B11" s="162"/>
      <c r="C11" s="161" t="s">
        <v>64</v>
      </c>
      <c r="D11" s="162">
        <v>68.31</v>
      </c>
      <c r="E11" s="161" t="s">
        <v>333</v>
      </c>
      <c r="F11" s="162">
        <v>67.81</v>
      </c>
    </row>
    <row r="12" spans="1:6" x14ac:dyDescent="0.35">
      <c r="A12" s="163" t="s">
        <v>336</v>
      </c>
      <c r="B12" s="162">
        <f>SUM(B3:B11)</f>
        <v>596.30999999999995</v>
      </c>
      <c r="C12" s="163" t="s">
        <v>336</v>
      </c>
      <c r="D12" s="162">
        <f t="shared" ref="D12:F12" si="0">SUM(D3:D11)</f>
        <v>622.90000000000009</v>
      </c>
      <c r="E12" s="163" t="s">
        <v>336</v>
      </c>
      <c r="F12" s="162">
        <f t="shared" si="0"/>
        <v>619.53</v>
      </c>
    </row>
    <row r="13" spans="1:6" x14ac:dyDescent="0.35">
      <c r="E13" s="163" t="s">
        <v>335</v>
      </c>
      <c r="F13" s="162">
        <f>SUM(F12,D12,B12)</f>
        <v>1838.74</v>
      </c>
    </row>
    <row r="15" spans="1:6" x14ac:dyDescent="0.35">
      <c r="A15" s="219" t="s">
        <v>433</v>
      </c>
      <c r="B15" s="219"/>
      <c r="C15" s="219"/>
      <c r="D15" s="219"/>
      <c r="E15" s="219"/>
      <c r="F15" s="219"/>
    </row>
    <row r="16" spans="1:6" x14ac:dyDescent="0.35">
      <c r="A16" s="270" t="s">
        <v>302</v>
      </c>
      <c r="B16" s="270"/>
      <c r="C16" s="270"/>
      <c r="D16" s="270"/>
      <c r="E16" s="157" t="s">
        <v>2</v>
      </c>
      <c r="F16" s="158" t="s">
        <v>4</v>
      </c>
    </row>
    <row r="17" spans="1:6" ht="60.6" customHeight="1" x14ac:dyDescent="0.35">
      <c r="A17" s="270" t="s">
        <v>10</v>
      </c>
      <c r="B17" s="270"/>
      <c r="C17" s="270"/>
      <c r="D17" s="270"/>
      <c r="E17" s="157" t="s">
        <v>7</v>
      </c>
      <c r="F17" s="159">
        <f>F13</f>
        <v>1838.74</v>
      </c>
    </row>
  </sheetData>
  <mergeCells count="6">
    <mergeCell ref="A16:D16"/>
    <mergeCell ref="A15:F15"/>
    <mergeCell ref="A17:D17"/>
    <mergeCell ref="E1:F1"/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АА</vt:lpstr>
      <vt:lpstr>ВОР 2 эт</vt:lpstr>
      <vt:lpstr>Спец 2 эт</vt:lpstr>
      <vt:lpstr>ВОР 3 эт</vt:lpstr>
      <vt:lpstr>9.2ЛенИнв</vt:lpstr>
      <vt:lpstr>9.1ЛинИнв</vt:lpstr>
      <vt:lpstr>Налив. пол ВОР</vt:lpstr>
      <vt:lpstr>8.2Лин</vt:lpstr>
      <vt:lpstr>8.1Нал8в</vt:lpstr>
      <vt:lpstr>4.1к</vt:lpstr>
      <vt:lpstr>4СУги.изл</vt:lpstr>
      <vt:lpstr>3СУстж</vt:lpstr>
      <vt:lpstr>2СУплн</vt:lpstr>
      <vt:lpstr>1СУизл</vt:lpstr>
      <vt:lpstr>0СуПл</vt:lpstr>
      <vt:lpstr>1кСу</vt:lpstr>
      <vt:lpstr>7.8Пл6</vt:lpstr>
      <vt:lpstr>7.7ммп</vt:lpstr>
      <vt:lpstr>7.6Плв6</vt:lpstr>
      <vt:lpstr>7.5излЛК6в6</vt:lpstr>
      <vt:lpstr>7.4изл7.1в6</vt:lpstr>
      <vt:lpstr>7.3Пл6</vt:lpstr>
      <vt:lpstr>Спец 3 эт</vt:lpstr>
      <vt:lpstr>общий (2)</vt:lpstr>
      <vt:lpstr>не сделали</vt:lpstr>
      <vt:lpstr>ВорИзол</vt:lpstr>
      <vt:lpstr>Из1эт</vt:lpstr>
      <vt:lpstr>Из2эт</vt:lpstr>
      <vt:lpstr>ВорПленка</vt:lpstr>
      <vt:lpstr>Плк1э</vt:lpstr>
      <vt:lpstr>Плк2э</vt:lpstr>
      <vt:lpstr>Плк3э</vt:lpstr>
      <vt:lpstr>Общ</vt:lpstr>
      <vt:lpstr>СКБ-1эт</vt:lpstr>
      <vt:lpstr>1эт</vt:lpstr>
      <vt:lpstr>2эт</vt:lpstr>
      <vt:lpstr>3эт</vt:lpstr>
      <vt:lpstr>КП</vt:lpstr>
      <vt:lpstr>7.2-Гидр5</vt:lpstr>
      <vt:lpstr>7.1-Шл4.4</vt:lpstr>
      <vt:lpstr>6.1-Нал.пл</vt:lpstr>
      <vt:lpstr>5.3СКБ11в6</vt:lpstr>
      <vt:lpstr>5.2-СКБ7.1</vt:lpstr>
      <vt:lpstr>5.1-СКБ</vt:lpstr>
      <vt:lpstr>4.1-Изол</vt:lpstr>
      <vt:lpstr>3.3ПлнкЛК6в6</vt:lpstr>
      <vt:lpstr>3.2-Плен</vt:lpstr>
      <vt:lpstr>3.1-Плен</vt:lpstr>
      <vt:lpstr>2.1-Нал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2025-10-21T10:43:00Z</dcterms:created>
  <dcterms:modified xsi:type="dcterms:W3CDTF">2026-09-24T12:03:16Z</dcterms:modified>
</cp:coreProperties>
</file>