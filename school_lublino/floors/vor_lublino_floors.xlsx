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20" activeTab="27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r:id="rId9"/>
    <sheet name="Из2эт" sheetId="9" r:id="rId10"/>
    <sheet name="ВорПленка" sheetId="12" r:id="rId11"/>
    <sheet name="Плк1э" sheetId="13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  <sheet name="КП" sheetId="23" r:id="rId20"/>
    <sheet name="2.1-Пл" sheetId="22" r:id="rId21"/>
    <sheet name="3.1-Пл" sheetId="24" r:id="rId22"/>
    <sheet name="3.2-Плен" sheetId="28" r:id="rId23"/>
    <sheet name="4.1-Изол" sheetId="25" r:id="rId24"/>
    <sheet name="5.1-СКБ" sheetId="26" r:id="rId25"/>
    <sheet name="6.1-Нал.пл" sheetId="29" r:id="rId26"/>
    <sheet name="5.2-СКБ7.1" sheetId="30" r:id="rId27"/>
    <sheet name="7.1-Шл4.4" sheetId="31" r:id="rId28"/>
  </sheets>
  <definedNames>
    <definedName name="_xlnm._FilterDatabase" localSheetId="4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<sst xmlns="http://schemas.openxmlformats.org/spreadsheetml/2006/main" count="1022" uniqueCount="360">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</sst>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3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77" t="s">
        <v>48</v>
      </c>
      <c r="B1" s="177"/>
      <c r="C1" s="177"/>
      <c r="D1" s="177"/>
      <c r="E1" s="177"/>
      <c r="F1" s="177"/>
      <c r="G1" s="177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77" t="s">
        <v>48</v>
      </c>
      <c r="B1" s="177"/>
      <c r="C1" s="177"/>
      <c r="D1" s="177"/>
      <c r="E1" s="177"/>
      <c r="F1" s="177"/>
      <c r="G1" s="177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178" t="s">
        <v>108</v>
      </c>
      <c r="B1" s="179"/>
      <c r="C1" s="179"/>
      <c r="D1" s="179"/>
      <c r="E1" s="180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178" t="s">
        <v>107</v>
      </c>
      <c r="B1" s="179"/>
      <c r="C1" s="179"/>
      <c r="D1" s="179"/>
      <c r="E1" s="180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181" t="s">
        <v>110</v>
      </c>
      <c r="B1" s="182"/>
      <c r="C1" s="182"/>
      <c r="D1" s="182"/>
      <c r="E1" s="183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181" t="s">
        <v>111</v>
      </c>
      <c r="B1" s="182"/>
      <c r="C1" s="182"/>
      <c r="D1" s="182"/>
      <c r="E1" s="183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178" t="s">
        <v>109</v>
      </c>
      <c r="B1" s="179"/>
      <c r="C1" s="179"/>
      <c r="D1" s="179"/>
      <c r="E1" s="180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28" zoomScaleNormal="100" workbookViewId="0">
      <selection activeCell="E118" sqref="E118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178" t="s">
        <v>48</v>
      </c>
      <c r="B1" s="179"/>
      <c r="C1" s="179"/>
      <c r="D1" s="179"/>
      <c r="E1" s="180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opLeftCell="A19" workbookViewId="0">
      <selection activeCell="B43" sqref="B43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1" t="s">
        <v>110</v>
      </c>
      <c r="B1" s="182"/>
      <c r="C1" s="182"/>
      <c r="D1" s="182"/>
      <c r="E1" s="183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181" t="s">
        <v>110</v>
      </c>
      <c r="B7" s="182"/>
      <c r="C7" s="182"/>
      <c r="D7" s="182"/>
      <c r="E7" s="183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181" t="s">
        <v>48</v>
      </c>
      <c r="B13" s="182"/>
      <c r="C13" s="182"/>
      <c r="D13" s="182"/>
      <c r="E13" s="183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4" t="s">
        <v>111</v>
      </c>
      <c r="B1" s="184"/>
      <c r="C1" s="184"/>
      <c r="D1" s="184"/>
      <c r="E1" s="184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184" t="s">
        <v>111</v>
      </c>
      <c r="B7" s="184"/>
      <c r="C7" s="184"/>
      <c r="D7" s="184"/>
      <c r="E7" s="184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184" t="s">
        <v>111</v>
      </c>
      <c r="B14" s="184"/>
      <c r="C14" s="184"/>
      <c r="D14" s="184"/>
      <c r="E14" s="184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184" t="s">
        <v>109</v>
      </c>
      <c r="B1" s="184"/>
      <c r="C1" s="184"/>
      <c r="D1" s="184"/>
      <c r="E1" s="184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184" t="s">
        <v>109</v>
      </c>
      <c r="B6" s="184"/>
      <c r="C6" s="184"/>
      <c r="D6" s="184"/>
      <c r="E6" s="184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F13" sqref="C1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338</v>
      </c>
      <c r="B1" s="187"/>
      <c r="C1" s="187" t="s">
        <v>339</v>
      </c>
      <c r="D1" s="187"/>
      <c r="E1" s="187" t="s">
        <v>340</v>
      </c>
      <c r="F1" s="187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86" t="s">
        <v>317</v>
      </c>
      <c r="B15" s="186"/>
      <c r="C15" s="186"/>
      <c r="D15" s="186"/>
      <c r="E15" s="186"/>
      <c r="F15" s="186"/>
    </row>
    <row r="16" spans="1:6" x14ac:dyDescent="0.35">
      <c r="A16" s="185" t="s">
        <v>302</v>
      </c>
      <c r="B16" s="185"/>
      <c r="C16" s="185"/>
      <c r="D16" s="185"/>
      <c r="E16" s="157" t="s">
        <v>2</v>
      </c>
      <c r="F16" s="158" t="s">
        <v>4</v>
      </c>
    </row>
    <row r="17" spans="1:6" ht="60.6" customHeight="1" x14ac:dyDescent="0.35">
      <c r="A17" s="185" t="s">
        <v>10</v>
      </c>
      <c r="B17" s="185"/>
      <c r="C17" s="185"/>
      <c r="D17" s="185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F15" sqref="F15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338</v>
      </c>
      <c r="B1" s="187"/>
      <c r="C1" s="191"/>
      <c r="D1" s="191"/>
      <c r="E1" s="191"/>
      <c r="F1" s="191"/>
    </row>
    <row r="2" spans="1:6" ht="36" x14ac:dyDescent="0.35">
      <c r="A2" s="160" t="s">
        <v>318</v>
      </c>
      <c r="B2" s="160" t="s">
        <v>319</v>
      </c>
      <c r="C2" s="168"/>
      <c r="D2" s="168"/>
      <c r="E2" s="168"/>
      <c r="F2" s="168"/>
    </row>
    <row r="3" spans="1:6" x14ac:dyDescent="0.35">
      <c r="A3" s="161" t="s">
        <v>320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321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322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323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324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325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335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337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186" t="s">
        <v>317</v>
      </c>
      <c r="B13" s="186"/>
      <c r="C13" s="186"/>
      <c r="D13" s="186"/>
      <c r="E13" s="186"/>
      <c r="F13" s="186"/>
    </row>
    <row r="14" spans="1:6" ht="18" customHeight="1" x14ac:dyDescent="0.35">
      <c r="A14" s="188" t="s">
        <v>302</v>
      </c>
      <c r="B14" s="189"/>
      <c r="C14" s="190"/>
      <c r="D14" s="167" t="s">
        <v>341</v>
      </c>
      <c r="E14" s="164" t="s">
        <v>2</v>
      </c>
      <c r="F14" s="158" t="s">
        <v>4</v>
      </c>
    </row>
    <row r="15" spans="1:6" ht="89.4" customHeight="1" x14ac:dyDescent="0.35">
      <c r="A15" s="188" t="s">
        <v>14</v>
      </c>
      <c r="B15" s="189"/>
      <c r="C15" s="190"/>
      <c r="D15" s="167" t="s">
        <v>342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6" t="s">
        <v>317</v>
      </c>
      <c r="B1" s="186"/>
      <c r="C1" s="186"/>
      <c r="D1" s="186"/>
      <c r="E1" s="186"/>
      <c r="F1" s="186"/>
    </row>
    <row r="2" spans="1:6" ht="18" customHeight="1" x14ac:dyDescent="0.35">
      <c r="A2" s="188" t="s">
        <v>302</v>
      </c>
      <c r="B2" s="189"/>
      <c r="C2" s="190"/>
      <c r="D2" s="167" t="s">
        <v>341</v>
      </c>
      <c r="E2" s="173" t="s">
        <v>2</v>
      </c>
      <c r="F2" s="158" t="s">
        <v>4</v>
      </c>
    </row>
    <row r="3" spans="1:6" ht="34.799999999999997" customHeight="1" x14ac:dyDescent="0.35">
      <c r="A3" s="192" t="s">
        <v>14</v>
      </c>
      <c r="B3" s="193"/>
      <c r="C3" s="194"/>
      <c r="D3" s="167" t="s">
        <v>343</v>
      </c>
      <c r="E3" s="173" t="s">
        <v>7</v>
      </c>
      <c r="F3" s="159">
        <f>B9</f>
        <v>115.60000000000001</v>
      </c>
    </row>
    <row r="4" spans="1:6" ht="36" x14ac:dyDescent="0.35">
      <c r="A4" s="160" t="s">
        <v>318</v>
      </c>
      <c r="B4" s="160" t="s">
        <v>319</v>
      </c>
      <c r="C4" s="195"/>
      <c r="D4" s="196"/>
      <c r="E4" s="196"/>
      <c r="F4" s="196"/>
    </row>
    <row r="5" spans="1:6" x14ac:dyDescent="0.35">
      <c r="A5" s="161" t="s">
        <v>348</v>
      </c>
      <c r="B5" s="162">
        <v>37.200000000000003</v>
      </c>
      <c r="C5" s="197"/>
      <c r="D5" s="198"/>
      <c r="E5" s="198"/>
      <c r="F5" s="198"/>
    </row>
    <row r="6" spans="1:6" x14ac:dyDescent="0.35">
      <c r="A6" s="161" t="s">
        <v>349</v>
      </c>
      <c r="B6" s="162">
        <v>56.31</v>
      </c>
      <c r="C6" s="197"/>
      <c r="D6" s="198"/>
      <c r="E6" s="198"/>
      <c r="F6" s="198"/>
    </row>
    <row r="7" spans="1:6" x14ac:dyDescent="0.35">
      <c r="A7" s="161" t="s">
        <v>350</v>
      </c>
      <c r="B7" s="162">
        <v>10.119999999999999</v>
      </c>
      <c r="C7" s="197"/>
      <c r="D7" s="198"/>
      <c r="E7" s="198"/>
      <c r="F7" s="198"/>
    </row>
    <row r="8" spans="1:6" x14ac:dyDescent="0.35">
      <c r="A8" s="161" t="s">
        <v>351</v>
      </c>
      <c r="B8" s="162">
        <v>11.97</v>
      </c>
      <c r="C8" s="197"/>
      <c r="D8" s="198"/>
      <c r="E8" s="198"/>
      <c r="F8" s="198"/>
    </row>
    <row r="9" spans="1:6" x14ac:dyDescent="0.35">
      <c r="A9" s="163" t="s">
        <v>337</v>
      </c>
      <c r="B9" s="162">
        <f>SUM(B5:B8)</f>
        <v>115.60000000000001</v>
      </c>
      <c r="C9" s="197"/>
      <c r="D9" s="198"/>
      <c r="E9" s="198"/>
      <c r="F9" s="198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6" t="s">
        <v>317</v>
      </c>
      <c r="B1" s="186"/>
      <c r="C1" s="186"/>
      <c r="D1" s="186"/>
      <c r="E1" s="186"/>
      <c r="F1" s="186"/>
    </row>
    <row r="2" spans="1:6" ht="18" customHeight="1" x14ac:dyDescent="0.35">
      <c r="A2" s="188" t="s">
        <v>302</v>
      </c>
      <c r="B2" s="189"/>
      <c r="C2" s="190"/>
      <c r="D2" s="167" t="s">
        <v>341</v>
      </c>
      <c r="E2" s="166" t="s">
        <v>2</v>
      </c>
      <c r="F2" s="158" t="s">
        <v>4</v>
      </c>
    </row>
    <row r="3" spans="1:6" ht="57.6" customHeight="1" x14ac:dyDescent="0.35">
      <c r="A3" s="192" t="s">
        <v>357</v>
      </c>
      <c r="B3" s="193"/>
      <c r="C3" s="194"/>
      <c r="D3" s="167" t="s">
        <v>358</v>
      </c>
      <c r="E3" s="166" t="s">
        <v>7</v>
      </c>
      <c r="F3" s="159">
        <f>B9</f>
        <v>1923.9773</v>
      </c>
    </row>
    <row r="4" spans="1:6" ht="36" x14ac:dyDescent="0.35">
      <c r="A4" s="160" t="s">
        <v>318</v>
      </c>
      <c r="B4" s="160" t="s">
        <v>319</v>
      </c>
      <c r="C4" s="195"/>
      <c r="D4" s="196"/>
      <c r="E4" s="196"/>
      <c r="F4" s="196"/>
    </row>
    <row r="5" spans="1:6" x14ac:dyDescent="0.35">
      <c r="A5" s="161" t="s">
        <v>344</v>
      </c>
      <c r="B5" s="162">
        <f>379.31+(84.163-4)*0.1</f>
        <v>387.3263</v>
      </c>
      <c r="C5" s="197"/>
      <c r="D5" s="198"/>
      <c r="E5" s="198"/>
      <c r="F5" s="198"/>
    </row>
    <row r="6" spans="1:6" x14ac:dyDescent="0.35">
      <c r="A6" s="161" t="s">
        <v>345</v>
      </c>
      <c r="B6" s="162">
        <f>381.65+(83.53-2.2-1.8)*0.1</f>
        <v>389.60299999999995</v>
      </c>
      <c r="C6" s="197"/>
      <c r="D6" s="198"/>
      <c r="E6" s="198"/>
      <c r="F6" s="198"/>
    </row>
    <row r="7" spans="1:6" x14ac:dyDescent="0.35">
      <c r="A7" s="161" t="s">
        <v>346</v>
      </c>
      <c r="B7" s="162">
        <f>563.46+(102.28-1.5-2.2)*0.1</f>
        <v>573.31799999999998</v>
      </c>
      <c r="C7" s="197"/>
      <c r="D7" s="198"/>
      <c r="E7" s="198"/>
      <c r="F7" s="198"/>
    </row>
    <row r="8" spans="1:6" x14ac:dyDescent="0.35">
      <c r="A8" s="161" t="s">
        <v>347</v>
      </c>
      <c r="B8" s="162">
        <f>563.73+10</f>
        <v>573.73</v>
      </c>
      <c r="C8" s="197"/>
      <c r="D8" s="198"/>
      <c r="E8" s="198"/>
      <c r="F8" s="198"/>
    </row>
    <row r="9" spans="1:6" x14ac:dyDescent="0.35">
      <c r="A9" s="163" t="s">
        <v>337</v>
      </c>
      <c r="B9" s="162">
        <f>SUM(B5:B8)</f>
        <v>1923.9773</v>
      </c>
      <c r="C9" s="197"/>
      <c r="D9" s="198"/>
      <c r="E9" s="198"/>
      <c r="F9" s="198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6" t="s">
        <v>317</v>
      </c>
      <c r="B1" s="186"/>
      <c r="C1" s="186"/>
      <c r="D1" s="186"/>
      <c r="E1" s="186"/>
      <c r="F1" s="186"/>
    </row>
    <row r="2" spans="1:6" ht="18" customHeight="1" x14ac:dyDescent="0.35">
      <c r="A2" s="188" t="s">
        <v>302</v>
      </c>
      <c r="B2" s="189"/>
      <c r="C2" s="190"/>
      <c r="D2" s="167" t="s">
        <v>341</v>
      </c>
      <c r="E2" s="166" t="s">
        <v>2</v>
      </c>
      <c r="F2" s="158" t="s">
        <v>4</v>
      </c>
    </row>
    <row r="3" spans="1:6" ht="34.799999999999997" customHeight="1" x14ac:dyDescent="0.35">
      <c r="A3" s="192" t="s">
        <v>352</v>
      </c>
      <c r="B3" s="193"/>
      <c r="C3" s="194"/>
      <c r="D3" s="167" t="s">
        <v>354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192" t="s">
        <v>352</v>
      </c>
      <c r="B4" s="193"/>
      <c r="C4" s="194"/>
      <c r="D4" s="167" t="s">
        <v>355</v>
      </c>
      <c r="E4" s="166" t="s">
        <v>7</v>
      </c>
      <c r="F4" s="159">
        <f>B11</f>
        <v>1888.15</v>
      </c>
    </row>
    <row r="5" spans="1:6" ht="34.799999999999997" customHeight="1" x14ac:dyDescent="0.35">
      <c r="A5" s="188" t="s">
        <v>343</v>
      </c>
      <c r="B5" s="190"/>
      <c r="C5" s="199"/>
      <c r="D5" s="200"/>
      <c r="E5" s="188" t="s">
        <v>353</v>
      </c>
      <c r="F5" s="190"/>
    </row>
    <row r="6" spans="1:6" ht="36" x14ac:dyDescent="0.35">
      <c r="A6" s="160" t="s">
        <v>318</v>
      </c>
      <c r="B6" s="160" t="s">
        <v>319</v>
      </c>
      <c r="C6" s="201"/>
      <c r="D6" s="202"/>
      <c r="E6" s="160" t="s">
        <v>318</v>
      </c>
      <c r="F6" s="160" t="s">
        <v>319</v>
      </c>
    </row>
    <row r="7" spans="1:6" x14ac:dyDescent="0.35">
      <c r="A7" s="161" t="s">
        <v>344</v>
      </c>
      <c r="B7" s="162">
        <v>379.31</v>
      </c>
      <c r="C7" s="201"/>
      <c r="D7" s="202"/>
      <c r="E7" s="161" t="s">
        <v>348</v>
      </c>
      <c r="F7" s="162">
        <v>37.200000000000003</v>
      </c>
    </row>
    <row r="8" spans="1:6" x14ac:dyDescent="0.35">
      <c r="A8" s="161" t="s">
        <v>345</v>
      </c>
      <c r="B8" s="162">
        <v>381.65</v>
      </c>
      <c r="C8" s="201"/>
      <c r="D8" s="202"/>
      <c r="E8" s="161" t="s">
        <v>349</v>
      </c>
      <c r="F8" s="162">
        <v>56.31</v>
      </c>
    </row>
    <row r="9" spans="1:6" x14ac:dyDescent="0.35">
      <c r="A9" s="161" t="s">
        <v>346</v>
      </c>
      <c r="B9" s="162">
        <v>563.46</v>
      </c>
      <c r="C9" s="201"/>
      <c r="D9" s="202"/>
      <c r="E9" s="161" t="s">
        <v>350</v>
      </c>
      <c r="F9" s="162">
        <v>10.119999999999999</v>
      </c>
    </row>
    <row r="10" spans="1:6" x14ac:dyDescent="0.35">
      <c r="A10" s="161" t="s">
        <v>347</v>
      </c>
      <c r="B10" s="162">
        <v>563.73</v>
      </c>
      <c r="C10" s="201"/>
      <c r="D10" s="202"/>
      <c r="E10" s="161" t="s">
        <v>351</v>
      </c>
      <c r="F10" s="162">
        <v>11.97</v>
      </c>
    </row>
    <row r="11" spans="1:6" x14ac:dyDescent="0.35">
      <c r="A11" s="163" t="s">
        <v>337</v>
      </c>
      <c r="B11" s="162">
        <f>SUM(B7:B10)</f>
        <v>1888.15</v>
      </c>
      <c r="C11" s="201"/>
      <c r="D11" s="202"/>
      <c r="E11" s="163" t="s">
        <v>337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13" sqref="A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6" t="s">
        <v>317</v>
      </c>
      <c r="B1" s="186"/>
      <c r="C1" s="186"/>
      <c r="D1" s="186"/>
      <c r="E1" s="186"/>
      <c r="F1" s="186"/>
    </row>
    <row r="2" spans="1:6" ht="18" customHeight="1" x14ac:dyDescent="0.35">
      <c r="A2" s="188" t="s">
        <v>302</v>
      </c>
      <c r="B2" s="189"/>
      <c r="C2" s="190"/>
      <c r="D2" s="167" t="s">
        <v>341</v>
      </c>
      <c r="E2" s="173" t="s">
        <v>2</v>
      </c>
      <c r="F2" s="158" t="s">
        <v>4</v>
      </c>
    </row>
    <row r="3" spans="1:6" ht="67.2" customHeight="1" x14ac:dyDescent="0.35">
      <c r="A3" s="192" t="s">
        <v>356</v>
      </c>
      <c r="B3" s="193"/>
      <c r="C3" s="194"/>
      <c r="D3" s="167" t="s">
        <v>343</v>
      </c>
      <c r="E3" s="173" t="s">
        <v>7</v>
      </c>
      <c r="F3" s="159">
        <f>B9</f>
        <v>1888.15</v>
      </c>
    </row>
    <row r="4" spans="1:6" ht="36" x14ac:dyDescent="0.35">
      <c r="A4" s="160" t="s">
        <v>318</v>
      </c>
      <c r="B4" s="160" t="s">
        <v>319</v>
      </c>
      <c r="C4" s="195"/>
      <c r="D4" s="196"/>
      <c r="E4" s="196"/>
      <c r="F4" s="196"/>
    </row>
    <row r="5" spans="1:6" x14ac:dyDescent="0.35">
      <c r="A5" s="161" t="s">
        <v>344</v>
      </c>
      <c r="B5" s="162">
        <v>379.31</v>
      </c>
      <c r="C5" s="197"/>
      <c r="D5" s="198"/>
      <c r="E5" s="198"/>
      <c r="F5" s="198"/>
    </row>
    <row r="6" spans="1:6" x14ac:dyDescent="0.35">
      <c r="A6" s="161" t="s">
        <v>345</v>
      </c>
      <c r="B6" s="162">
        <v>381.65</v>
      </c>
      <c r="C6" s="197"/>
      <c r="D6" s="198"/>
      <c r="E6" s="198"/>
      <c r="F6" s="198"/>
    </row>
    <row r="7" spans="1:6" x14ac:dyDescent="0.35">
      <c r="A7" s="161" t="s">
        <v>346</v>
      </c>
      <c r="B7" s="162">
        <v>563.46</v>
      </c>
      <c r="C7" s="197"/>
      <c r="D7" s="198"/>
      <c r="E7" s="198"/>
      <c r="F7" s="198"/>
    </row>
    <row r="8" spans="1:6" x14ac:dyDescent="0.35">
      <c r="A8" s="161" t="s">
        <v>347</v>
      </c>
      <c r="B8" s="162">
        <v>563.73</v>
      </c>
      <c r="C8" s="197"/>
      <c r="D8" s="198"/>
      <c r="E8" s="198"/>
      <c r="F8" s="198"/>
    </row>
    <row r="9" spans="1:6" x14ac:dyDescent="0.35">
      <c r="A9" s="163" t="s">
        <v>337</v>
      </c>
      <c r="B9" s="162">
        <f>SUM(B5:B8)</f>
        <v>1888.15</v>
      </c>
      <c r="C9" s="197"/>
      <c r="D9" s="198"/>
      <c r="E9" s="198"/>
      <c r="F9" s="198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" sqref="B3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6" t="s">
        <v>317</v>
      </c>
      <c r="B1" s="186"/>
      <c r="C1" s="186"/>
      <c r="D1" s="186"/>
      <c r="E1" s="186"/>
    </row>
    <row r="2" spans="1:5" ht="18" customHeight="1" x14ac:dyDescent="0.35">
      <c r="A2" s="174" t="s">
        <v>359</v>
      </c>
      <c r="B2" s="174" t="s">
        <v>302</v>
      </c>
      <c r="C2" s="167" t="s">
        <v>341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tabSelected="1" zoomScale="85" zoomScaleNormal="85" workbookViewId="0">
      <selection activeCell="E4" sqref="E4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6" t="s">
        <v>317</v>
      </c>
      <c r="B1" s="186"/>
      <c r="C1" s="186"/>
      <c r="D1" s="186"/>
      <c r="E1" s="186"/>
    </row>
    <row r="2" spans="1:5" ht="18" customHeight="1" x14ac:dyDescent="0.35">
      <c r="A2" s="175" t="s">
        <v>359</v>
      </c>
      <c r="B2" s="175" t="s">
        <v>302</v>
      </c>
      <c r="C2" s="167" t="s">
        <v>341</v>
      </c>
      <c r="D2" s="175" t="s">
        <v>2</v>
      </c>
      <c r="E2" s="158" t="s">
        <v>4</v>
      </c>
    </row>
    <row r="3" spans="1:5" ht="40.799999999999997" customHeight="1" x14ac:dyDescent="0.35">
      <c r="A3" s="175">
        <v>1</v>
      </c>
      <c r="B3" s="176" t="s">
        <v>19</v>
      </c>
      <c r="C3" s="167" t="s">
        <v>39</v>
      </c>
      <c r="D3" s="175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2.1-Пл</vt:lpstr>
      <vt:lpstr>3.1-Пл</vt:lpstr>
      <vt:lpstr>3.2-Плен</vt:lpstr>
      <vt:lpstr>4.1-Изол</vt:lpstr>
      <vt:lpstr>5.1-СКБ</vt:lpstr>
      <vt:lpstr>6.1-Нал.пл</vt:lpstr>
      <vt:lpstr>5.2-СКБ7.1</vt:lpstr>
      <vt:lpstr>7.1-Шл4.4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2026-04-10T08:25:19Z</dcterms:modified>
</cp:coreProperties>
</file>